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ck\Desktop\"/>
    </mc:Choice>
  </mc:AlternateContent>
  <xr:revisionPtr revIDLastSave="0" documentId="13_ncr:1_{913D78F4-4ECB-4157-8FDA-BC8331226E3F}" xr6:coauthVersionLast="47" xr6:coauthVersionMax="47" xr10:uidLastSave="{00000000-0000-0000-0000-000000000000}"/>
  <bookViews>
    <workbookView xWindow="-120" yWindow="-120" windowWidth="38640" windowHeight="21240" xr2:uid="{4364E00C-E040-41F0-BDFF-E478E69C6C4A}"/>
  </bookViews>
  <sheets>
    <sheet name="Main" sheetId="8" r:id="rId1"/>
  </sheets>
  <definedNames>
    <definedName name="solver_adj" localSheetId="0" hidden="1">Main!$AG$15:$AG$37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Main!$AG$15:$AG$37</definedName>
    <definedName name="solver_lhs2" localSheetId="0" hidden="1">Main!$N$33:$Q$33</definedName>
    <definedName name="solver_lhs3" localSheetId="0" hidden="1">Main!$N$33:$Q$33</definedName>
    <definedName name="solver_lhs4" localSheetId="0" hidden="1">Main!$N$33:$Q$33</definedName>
    <definedName name="solver_lhs5" localSheetId="0" hidden="1">Main!$N$33:$Q$33</definedName>
    <definedName name="solver_lhs6" localSheetId="0" hidden="1">Main!$V$15:$V$74</definedName>
    <definedName name="solver_lhs7" localSheetId="0" hidden="1">Main!$V$15:$V$74</definedName>
    <definedName name="solver_lhs8" localSheetId="0" hidden="1">Main!$V$15:$V$74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Main!$P$6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4</definedName>
    <definedName name="solver_rel3" localSheetId="0" hidden="1">4</definedName>
    <definedName name="solver_rel4" localSheetId="0" hidden="1">4</definedName>
    <definedName name="solver_rel5" localSheetId="0" hidden="1">4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hs1" localSheetId="0" hidden="1">5</definedName>
    <definedName name="solver_rhs2" localSheetId="0" hidden="1">"integer"</definedName>
    <definedName name="solver_rhs3" localSheetId="0" hidden="1">"integer"</definedName>
    <definedName name="solver_rhs4" localSheetId="0" hidden="1">"integer"</definedName>
    <definedName name="solver_rhs5" localSheetId="0" hidden="1">"integer"</definedName>
    <definedName name="solver_rhs6" localSheetId="0" hidden="1">5</definedName>
    <definedName name="solver_rhs7" localSheetId="0" hidden="1">5</definedName>
    <definedName name="solver_rhs8" localSheetId="0" hidden="1">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0.1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5" i="8" l="1"/>
  <c r="C52" i="8"/>
  <c r="AG38" i="8"/>
  <c r="R33" i="8"/>
  <c r="AA27" i="8"/>
  <c r="L27" i="8"/>
  <c r="AO26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K3" i="8" l="1"/>
  <c r="L5" i="8"/>
  <c r="L7" i="8"/>
  <c r="K7" i="8"/>
  <c r="M3" i="8"/>
  <c r="L3" i="8"/>
  <c r="B5" i="8"/>
  <c r="P2" i="8"/>
  <c r="U9" i="8" s="1"/>
  <c r="J7" i="8"/>
  <c r="E7" i="8"/>
  <c r="F3" i="8"/>
  <c r="M7" i="8"/>
  <c r="B3" i="8"/>
  <c r="M5" i="8"/>
  <c r="K5" i="8"/>
  <c r="J5" i="8"/>
  <c r="I7" i="8"/>
  <c r="J3" i="8"/>
  <c r="I5" i="8"/>
  <c r="H7" i="8"/>
  <c r="I3" i="8"/>
  <c r="H5" i="8"/>
  <c r="G7" i="8"/>
  <c r="H3" i="8"/>
  <c r="G5" i="8"/>
  <c r="F7" i="8"/>
  <c r="G3" i="8"/>
  <c r="F5" i="8"/>
  <c r="E5" i="8"/>
  <c r="D7" i="8"/>
  <c r="E3" i="8"/>
  <c r="D5" i="8"/>
  <c r="C7" i="8"/>
  <c r="D3" i="8"/>
  <c r="C5" i="8"/>
  <c r="B7" i="8"/>
  <c r="A5" i="8"/>
  <c r="C3" i="8"/>
  <c r="V5" i="8" l="1"/>
  <c r="AC5" i="8"/>
  <c r="AN5" i="8"/>
  <c r="AF5" i="8"/>
  <c r="Y5" i="8"/>
  <c r="AA5" i="8"/>
  <c r="AD5" i="8"/>
  <c r="AK5" i="8"/>
  <c r="Z5" i="8"/>
  <c r="AI5" i="8"/>
  <c r="AH5" i="8"/>
  <c r="X5" i="8"/>
  <c r="AE5" i="8"/>
  <c r="AL5" i="8"/>
  <c r="W5" i="8"/>
  <c r="AB5" i="8"/>
  <c r="AG5" i="8"/>
  <c r="AM5" i="8"/>
  <c r="AJ5" i="8"/>
  <c r="U5" i="8"/>
  <c r="P4" i="8"/>
  <c r="P5" i="8" s="1"/>
  <c r="P3" i="8"/>
  <c r="V9" i="8" l="1"/>
  <c r="W9" i="8" s="1"/>
  <c r="U10" i="8"/>
  <c r="V10" i="8" s="1"/>
  <c r="U7" i="8"/>
  <c r="P6" i="8"/>
  <c r="AE3" i="8" s="1"/>
  <c r="W10" i="8" l="1"/>
  <c r="X9" i="8"/>
  <c r="V7" i="8"/>
  <c r="Y3" i="8"/>
  <c r="AM3" i="8"/>
  <c r="AJ3" i="8"/>
  <c r="AG3" i="8"/>
  <c r="AC3" i="8"/>
  <c r="AK3" i="8"/>
  <c r="AD3" i="8"/>
  <c r="Z3" i="8"/>
  <c r="AA3" i="8"/>
  <c r="AB3" i="8"/>
  <c r="AL3" i="8"/>
  <c r="AF3" i="8"/>
  <c r="U3" i="8"/>
  <c r="AN3" i="8"/>
  <c r="V3" i="8"/>
  <c r="AH3" i="8"/>
  <c r="W3" i="8"/>
  <c r="AI3" i="8"/>
  <c r="X3" i="8"/>
  <c r="X10" i="8" l="1"/>
  <c r="Y9" i="8"/>
  <c r="W7" i="8"/>
  <c r="Y10" i="8" l="1"/>
  <c r="Z9" i="8"/>
  <c r="AA9" i="8" s="1"/>
  <c r="AB9" i="8" s="1"/>
  <c r="X7" i="8"/>
  <c r="Z10" i="8" l="1"/>
  <c r="AA10" i="8" s="1"/>
  <c r="AB10" i="8" s="1"/>
  <c r="AC9" i="8"/>
  <c r="Y7" i="8"/>
  <c r="AC10" i="8" l="1"/>
  <c r="AD9" i="8"/>
  <c r="Z7" i="8"/>
  <c r="AD10" i="8" l="1"/>
  <c r="AE9" i="8"/>
  <c r="AA7" i="8"/>
  <c r="AE10" i="8" l="1"/>
  <c r="AF9" i="8"/>
  <c r="AB7" i="8"/>
  <c r="AF10" i="8" l="1"/>
  <c r="AG9" i="8"/>
  <c r="AH9" i="8" s="1"/>
  <c r="AI9" i="8" s="1"/>
  <c r="AJ9" i="8" s="1"/>
  <c r="AK9" i="8" s="1"/>
  <c r="AL9" i="8" s="1"/>
  <c r="AC7" i="8"/>
  <c r="AG10" i="8" l="1"/>
  <c r="AH10" i="8" s="1"/>
  <c r="AI10" i="8" s="1"/>
  <c r="AJ10" i="8" s="1"/>
  <c r="AK10" i="8" s="1"/>
  <c r="AL10" i="8" s="1"/>
  <c r="AM9" i="8"/>
  <c r="AD7" i="8"/>
  <c r="AM10" i="8" l="1"/>
  <c r="AN9" i="8"/>
  <c r="AN10" i="8" s="1"/>
  <c r="AE7" i="8"/>
  <c r="AF7" i="8" l="1"/>
  <c r="AG7" i="8" l="1"/>
  <c r="AH7" i="8" l="1"/>
  <c r="AI7" i="8" l="1"/>
  <c r="AJ7" i="8" l="1"/>
  <c r="AK7" i="8" l="1"/>
  <c r="AL7" i="8" l="1"/>
  <c r="AM7" i="8" l="1"/>
  <c r="AN7" i="8" l="1"/>
</calcChain>
</file>

<file path=xl/sharedStrings.xml><?xml version="1.0" encoding="utf-8"?>
<sst xmlns="http://schemas.openxmlformats.org/spreadsheetml/2006/main" count="116" uniqueCount="47">
  <si>
    <t>Table</t>
  </si>
  <si>
    <t>Payouts</t>
  </si>
  <si>
    <t>Number</t>
  </si>
  <si>
    <t>Bet</t>
  </si>
  <si>
    <t>Colour</t>
  </si>
  <si>
    <t>Red</t>
  </si>
  <si>
    <t>Black</t>
  </si>
  <si>
    <t>Green</t>
  </si>
  <si>
    <t>Split</t>
  </si>
  <si>
    <t>Straightup</t>
  </si>
  <si>
    <t>A</t>
  </si>
  <si>
    <t>B</t>
  </si>
  <si>
    <t>Street</t>
  </si>
  <si>
    <t>C</t>
  </si>
  <si>
    <t>Corner</t>
  </si>
  <si>
    <t>Column</t>
  </si>
  <si>
    <t>Dozen</t>
  </si>
  <si>
    <t>D</t>
  </si>
  <si>
    <t xml:space="preserve">4 numbers </t>
  </si>
  <si>
    <t>Six line</t>
  </si>
  <si>
    <t>E</t>
  </si>
  <si>
    <t>F</t>
  </si>
  <si>
    <t>Total</t>
  </si>
  <si>
    <t>1 to 18</t>
  </si>
  <si>
    <t>19 to 36</t>
  </si>
  <si>
    <t>E(pay)</t>
  </si>
  <si>
    <t>Prob</t>
  </si>
  <si>
    <t>Min</t>
  </si>
  <si>
    <t>2:1</t>
  </si>
  <si>
    <t>1:1</t>
  </si>
  <si>
    <t>17:1</t>
  </si>
  <si>
    <t>11:1</t>
  </si>
  <si>
    <t>8:1</t>
  </si>
  <si>
    <t>5:1</t>
  </si>
  <si>
    <t>E(win)</t>
  </si>
  <si>
    <t>Hits</t>
  </si>
  <si>
    <t>Draw</t>
  </si>
  <si>
    <t>Capital</t>
  </si>
  <si>
    <t>P&amp;L</t>
  </si>
  <si>
    <t>usually people stop here</t>
  </si>
  <si>
    <t>35:1</t>
  </si>
  <si>
    <t>Payout</t>
  </si>
  <si>
    <t>Rounds</t>
  </si>
  <si>
    <t>Martingale</t>
  </si>
  <si>
    <t>Total bet</t>
  </si>
  <si>
    <t>Simple</t>
  </si>
  <si>
    <t>Martingale only for 1:1 bets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</si>
</sst>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&quot;$&quot;#,##0.00"/>
  </numFmts>
  <fonts count="7" x14ac:knownFonts="1">
    <font>
      <sz val="11"/>
      <color theme="1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8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1" fillId="2" borderId="0" xfId="0" applyFont="1" applyFill="1"/>
    <xf numFmtId="49" fontId="0" fillId="0" borderId="0" xfId="0" applyNumberFormat="1"/>
    <xf numFmtId="0" fontId="0" fillId="0" borderId="0" xfId="0" quotePrefix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1" fillId="0" borderId="1" xfId="0" applyFont="1" applyBorder="1"/>
    <xf numFmtId="0" fontId="2" fillId="3" borderId="1" xfId="0" applyFont="1" applyFill="1" applyBorder="1"/>
    <xf numFmtId="164" fontId="0" fillId="0" borderId="0" xfId="1" applyNumberFormat="1" applyFont="1" applyAlignment="1"/>
    <xf numFmtId="0" fontId="0" fillId="3" borderId="2" xfId="0" applyFill="1" applyBorder="1"/>
    <xf numFmtId="0" fontId="0" fillId="0" borderId="3" xfId="0" applyBorder="1"/>
    <xf numFmtId="165" fontId="0" fillId="0" borderId="0" xfId="0" applyNumberFormat="1"/>
    <xf numFmtId="0" fontId="1" fillId="5" borderId="1" xfId="0" applyFont="1" applyFill="1" applyBorder="1"/>
    <xf numFmtId="0" fontId="1" fillId="4" borderId="1" xfId="0" applyFont="1" applyFill="1" applyBorder="1"/>
    <xf numFmtId="164" fontId="0" fillId="0" borderId="0" xfId="0" applyNumberFormat="1"/>
    <xf numFmtId="49" fontId="0" fillId="0" borderId="1" xfId="0" applyNumberFormat="1" applyBorder="1"/>
    <xf numFmtId="165" fontId="0" fillId="3" borderId="0" xfId="0" applyNumberFormat="1" applyFill="1"/>
    <xf numFmtId="0" fontId="6" fillId="0" borderId="0" xfId="0" applyFont="1"/>
    <xf numFmtId="165" fontId="0" fillId="0" borderId="1" xfId="0" applyNumberFormat="1" applyBorder="1"/>
    <xf numFmtId="0" fontId="5" fillId="0" borderId="0" xfId="0" applyFont="1"/>
  </cellXfs>
  <cellStyles count="2">
    <cellStyle name="Normal" xfId="0" builtinId="0"/>
    <cellStyle name="Percent" xfId="1" builtinId="5"/>
  </cellStyles>
  <dxfs count="16">
    <dxf>
      <font>
        <color rgb="FFFF0000"/>
      </font>
    </dxf>
    <dxf>
      <font>
        <b val="0"/>
        <i val="0"/>
        <color rgb="FFFF0000"/>
      </font>
    </dxf>
    <dxf>
      <fill>
        <patternFill>
          <bgColor theme="9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C00000"/>
        </patternFill>
      </fill>
    </dxf>
    <dxf>
      <fill>
        <patternFill>
          <bgColor theme="1"/>
        </patternFill>
      </fill>
    </dxf>
    <dxf>
      <fill>
        <patternFill>
          <bgColor rgb="FFC80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238125</xdr:colOff>
          <xdr:row>0</xdr:row>
          <xdr:rowOff>133350</xdr:rowOff>
        </xdr:from>
        <xdr:to>
          <xdr:col>18</xdr:col>
          <xdr:colOff>285750</xdr:colOff>
          <xdr:row>3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8B2D-06F5-424C-A460-65397185DF13}">
  <sheetPr codeName="Sheet3"/>
  <dimension ref="A1:AO76"/>
  <sheetViews>
    <sheetView tabSelected="1" zoomScale="115" zoomScaleNormal="115" workbookViewId="0">
      <pane ySplit="10" topLeftCell="A11" activePane="bottomLeft" state="frozen"/>
      <selection activeCell="F1" sqref="F1"/>
      <selection pane="bottomLeft" activeCell="K10" sqref="K10"/>
    </sheetView>
  </sheetViews>
  <sheetFormatPr defaultColWidth="7.28515625" defaultRowHeight="15" x14ac:dyDescent="0.25"/>
  <cols>
    <col min="5" max="5" width="7.28515625" style="3"/>
    <col min="16" max="16" width="8.28515625" customWidth="1"/>
    <col min="19" max="19" width="10.5703125" bestFit="1" customWidth="1"/>
    <col min="21" max="40" width="9.7109375" customWidth="1"/>
  </cols>
  <sheetData>
    <row r="1" spans="1:41" x14ac:dyDescent="0.25">
      <c r="A1" t="s">
        <v>0</v>
      </c>
      <c r="B1" t="s">
        <v>1</v>
      </c>
      <c r="E1"/>
      <c r="T1" t="s">
        <v>37</v>
      </c>
      <c r="U1" s="18">
        <v>100</v>
      </c>
      <c r="AE1" t="s">
        <v>39</v>
      </c>
    </row>
    <row r="2" spans="1:41" x14ac:dyDescent="0.25">
      <c r="B2" s="1">
        <v>3</v>
      </c>
      <c r="C2" s="1">
        <v>6</v>
      </c>
      <c r="D2" s="1">
        <v>9</v>
      </c>
      <c r="E2" s="1">
        <v>12</v>
      </c>
      <c r="F2" s="1">
        <v>15</v>
      </c>
      <c r="G2" s="1">
        <v>18</v>
      </c>
      <c r="H2" s="1">
        <v>21</v>
      </c>
      <c r="I2" s="1">
        <v>24</v>
      </c>
      <c r="J2" s="1">
        <v>27</v>
      </c>
      <c r="K2" s="1">
        <v>30</v>
      </c>
      <c r="L2" s="1">
        <v>33</v>
      </c>
      <c r="M2" s="1">
        <v>36</v>
      </c>
      <c r="O2" t="s">
        <v>44</v>
      </c>
      <c r="P2" s="13">
        <f>SUM($C$52,$L$27,$R$33,$V$75,$AA$27,$AG$38,$AO$26)</f>
        <v>25</v>
      </c>
      <c r="T2" t="s">
        <v>42</v>
      </c>
      <c r="U2">
        <v>1</v>
      </c>
      <c r="V2">
        <v>2</v>
      </c>
      <c r="W2">
        <v>3</v>
      </c>
      <c r="X2">
        <v>4</v>
      </c>
      <c r="Y2">
        <v>5</v>
      </c>
      <c r="Z2">
        <v>6</v>
      </c>
      <c r="AA2">
        <v>7</v>
      </c>
      <c r="AB2">
        <v>8</v>
      </c>
      <c r="AC2">
        <v>9</v>
      </c>
      <c r="AD2">
        <v>10</v>
      </c>
      <c r="AE2">
        <v>11</v>
      </c>
      <c r="AF2">
        <v>12</v>
      </c>
      <c r="AG2">
        <v>13</v>
      </c>
      <c r="AH2">
        <v>14</v>
      </c>
      <c r="AI2">
        <v>15</v>
      </c>
      <c r="AJ2">
        <v>16</v>
      </c>
      <c r="AK2">
        <v>17</v>
      </c>
      <c r="AL2">
        <v>18</v>
      </c>
      <c r="AM2">
        <v>19</v>
      </c>
      <c r="AN2">
        <v>20</v>
      </c>
    </row>
    <row r="3" spans="1:41" x14ac:dyDescent="0.25">
      <c r="B3">
        <f t="shared" ref="B3:M3" ca="1" si="0">_xlfn.XLOOKUP(B2,$A$15:$A$51,$C$15:$C$51)*36-$C$52+SUM(SUMIF($T$15:$T$74,B2,$V$15:$V$74),SUMIF($U$15:$U$74,B2,$V$15:$V$74))*18-$V$75+SUM(SUMIF($X$15:$X$26,B2,$AA$15:$AA$26),SUMIF($Y$15:$Z$26,B2,$AA$15:$AA$26),SUMIF($Z$15:$Z$26,B2,$AA$15:$AA$26))*12-$AA$27+SUM(SUMIF($AC$15:$AC$37,B2,$AG$15:$AG$37),SUMIF($AD$15:$AD$37,B2,$AG$15:$AG$37),SUMIF($AE$15:$AE$37,B2,$AG$15:$AG$37),SUMIF($AF$15:$AF$37,B2,$AG$15:$AG$37))*9-$AG$38+SUM(SUMIF($AI$15:$AI$25,B2,$AO$15:$AO$25),SUMIF($AJ$15:$AJ$25,B2,$AO$15:$AO$25),SUMIF($AK$15:$AK$25,B2,$AO$15:$AO$25),SUMIF($AL$15:$AL$25,B2,$AO$15:$AO$25),SUMIF($AM$15:$AM$25,B2,$AO$15:$AO$25),SUMIF($AN$15:$AN$25,B2,$AO$15:$AO$25))*6-$AO$26+SUM(IF(ISNUMBER(MATCH(B2,$F$15:$F$26,0)),$F$27*3,0),IF(ISNUMBER(MATCH(B2,$G$15:$G$26,0)),$G$27*3,0),IF(ISNUMBER(MATCH(B2,$H$15:$H$26,0)),$H$27*3,0),IF(ISNUMBER(MATCH(B2,$I$15:$I$26,0)),$I$27*3,0),IF(ISNUMBER(MATCH(B2,$J$15:$J$26,0)),$J$27*3,0),IF(ISNUMBER(MATCH(B2,$K$15:$K$26,0)),$K$27*3,0))-$L$27+SUM(IF(ISNUMBER(MATCH(B2,$N$15:$N$32,0)),$N$33*2,0),IF(ISNUMBER(MATCH(B2,$O$15:$O$32,0)),$O$33*2,0),IF(ISNUMBER(MATCH(B2,$P$15:$P$32,0)),$P$33*2,0),IF(ISNUMBER(MATCH(B2,$Q$15:$Q$32,0)),$Q$33*2,0))-$R$33</f>
        <v>-25</v>
      </c>
      <c r="C3">
        <f t="shared" ca="1" si="0"/>
        <v>25</v>
      </c>
      <c r="D3">
        <f t="shared" ca="1" si="0"/>
        <v>-25</v>
      </c>
      <c r="E3">
        <f t="shared" ca="1" si="0"/>
        <v>-25</v>
      </c>
      <c r="F3">
        <f t="shared" ca="1" si="0"/>
        <v>25</v>
      </c>
      <c r="G3">
        <f t="shared" ca="1" si="0"/>
        <v>-25</v>
      </c>
      <c r="H3">
        <f t="shared" ca="1" si="0"/>
        <v>-25</v>
      </c>
      <c r="I3">
        <f t="shared" ca="1" si="0"/>
        <v>25</v>
      </c>
      <c r="J3">
        <f t="shared" ca="1" si="0"/>
        <v>-25</v>
      </c>
      <c r="K3">
        <f t="shared" ca="1" si="0"/>
        <v>-25</v>
      </c>
      <c r="L3">
        <f t="shared" ca="1" si="0"/>
        <v>25</v>
      </c>
      <c r="M3">
        <f t="shared" ca="1" si="0"/>
        <v>-25</v>
      </c>
      <c r="O3" t="s">
        <v>25</v>
      </c>
      <c r="P3" s="13">
        <f ca="1">SUM(B3:M3,A5:M5,B7:M7)/37</f>
        <v>-0.67567567567567566</v>
      </c>
      <c r="T3" t="s">
        <v>26</v>
      </c>
      <c r="U3" s="16">
        <f ca="1">$P$6^U2</f>
        <v>0.48648648648648651</v>
      </c>
      <c r="V3" s="16">
        <f t="shared" ref="V3:AF3" ca="1" si="1">$P$6^V2</f>
        <v>0.23666910153396642</v>
      </c>
      <c r="W3" s="16">
        <f t="shared" ca="1" si="1"/>
        <v>0.11513631966517286</v>
      </c>
      <c r="X3" s="16">
        <f t="shared" ca="1" si="1"/>
        <v>5.6012263620894905E-2</v>
      </c>
      <c r="Y3" s="16">
        <f t="shared" ca="1" si="1"/>
        <v>2.724920932908401E-2</v>
      </c>
      <c r="Z3" s="16">
        <f t="shared" ca="1" si="1"/>
        <v>1.3256372106040869E-2</v>
      </c>
      <c r="AA3" s="16">
        <f t="shared" ca="1" si="1"/>
        <v>6.4490458894252882E-3</v>
      </c>
      <c r="AB3" s="16">
        <f t="shared" ca="1" si="1"/>
        <v>3.1373736759366267E-3</v>
      </c>
      <c r="AC3" s="16">
        <f t="shared" ca="1" si="1"/>
        <v>1.5262898964016024E-3</v>
      </c>
      <c r="AD3" s="16">
        <f t="shared" ca="1" si="1"/>
        <v>7.4251940906023899E-4</v>
      </c>
      <c r="AE3" s="16">
        <f t="shared" ca="1" si="1"/>
        <v>3.6122565846173789E-4</v>
      </c>
      <c r="AF3" s="16">
        <f t="shared" ca="1" si="1"/>
        <v>1.7573140141381843E-4</v>
      </c>
      <c r="AG3" s="16">
        <f ca="1">$P$6^AG2</f>
        <v>8.5490952039154919E-5</v>
      </c>
      <c r="AH3" s="16">
        <f t="shared" ref="AH3:AN3" ca="1" si="2">$P$6^AH2</f>
        <v>4.1590192883913207E-5</v>
      </c>
      <c r="AI3" s="16">
        <f t="shared" ca="1" si="2"/>
        <v>2.0233066808390208E-5</v>
      </c>
      <c r="AJ3" s="16">
        <f t="shared" ca="1" si="2"/>
        <v>9.8431135824601017E-6</v>
      </c>
      <c r="AK3" s="16">
        <f t="shared" ca="1" si="2"/>
        <v>4.7885417428184278E-6</v>
      </c>
      <c r="AL3" s="16">
        <f t="shared" ca="1" si="2"/>
        <v>2.3295608478576137E-6</v>
      </c>
      <c r="AM3" s="16">
        <f t="shared" ca="1" si="2"/>
        <v>1.1332998719307311E-6</v>
      </c>
      <c r="AN3" s="16">
        <f t="shared" ca="1" si="2"/>
        <v>5.5133507283116651E-7</v>
      </c>
    </row>
    <row r="4" spans="1:41" x14ac:dyDescent="0.25">
      <c r="A4" s="2">
        <v>0</v>
      </c>
      <c r="B4" s="1">
        <v>2</v>
      </c>
      <c r="C4" s="1">
        <v>5</v>
      </c>
      <c r="D4" s="1">
        <v>8</v>
      </c>
      <c r="E4" s="1">
        <v>11</v>
      </c>
      <c r="F4" s="1">
        <v>14</v>
      </c>
      <c r="G4" s="1">
        <v>17</v>
      </c>
      <c r="H4" s="1">
        <v>20</v>
      </c>
      <c r="I4" s="1">
        <v>23</v>
      </c>
      <c r="J4" s="1">
        <v>26</v>
      </c>
      <c r="K4" s="1">
        <v>29</v>
      </c>
      <c r="L4" s="1">
        <v>32</v>
      </c>
      <c r="M4" s="1">
        <v>35</v>
      </c>
      <c r="O4" t="s">
        <v>35</v>
      </c>
      <c r="P4">
        <f ca="1">SUM(COUNTIF(B3:M3,"&gt;0"),COUNTIF(A5:M5,"&gt;0"),COUNTIF(B7:M7,"&gt;0"))</f>
        <v>18</v>
      </c>
      <c r="T4" t="s">
        <v>36</v>
      </c>
      <c r="U4" s="1">
        <f ca="1">RANDBETWEEN(0,36)</f>
        <v>31</v>
      </c>
      <c r="V4" s="1">
        <f t="shared" ref="V4:AN4" ca="1" si="3">RANDBETWEEN(0,36)</f>
        <v>13</v>
      </c>
      <c r="W4" s="1">
        <f t="shared" ca="1" si="3"/>
        <v>8</v>
      </c>
      <c r="X4" s="1">
        <f t="shared" ca="1" si="3"/>
        <v>18</v>
      </c>
      <c r="Y4" s="1">
        <f t="shared" ca="1" si="3"/>
        <v>36</v>
      </c>
      <c r="Z4" s="1">
        <f t="shared" ca="1" si="3"/>
        <v>12</v>
      </c>
      <c r="AA4" s="1">
        <f t="shared" ca="1" si="3"/>
        <v>1</v>
      </c>
      <c r="AB4" s="1">
        <f t="shared" ca="1" si="3"/>
        <v>19</v>
      </c>
      <c r="AC4" s="1">
        <f t="shared" ca="1" si="3"/>
        <v>0</v>
      </c>
      <c r="AD4" s="1">
        <f t="shared" ca="1" si="3"/>
        <v>33</v>
      </c>
      <c r="AE4" s="1">
        <f t="shared" ca="1" si="3"/>
        <v>29</v>
      </c>
      <c r="AF4" s="1">
        <f t="shared" ca="1" si="3"/>
        <v>20</v>
      </c>
      <c r="AG4" s="1">
        <f ca="1">RANDBETWEEN(0,36)</f>
        <v>27</v>
      </c>
      <c r="AH4" s="1">
        <f t="shared" ca="1" si="3"/>
        <v>34</v>
      </c>
      <c r="AI4" s="1">
        <f t="shared" ca="1" si="3"/>
        <v>10</v>
      </c>
      <c r="AJ4" s="1">
        <f t="shared" ca="1" si="3"/>
        <v>34</v>
      </c>
      <c r="AK4" s="1">
        <f t="shared" ca="1" si="3"/>
        <v>14</v>
      </c>
      <c r="AL4" s="1">
        <f t="shared" ca="1" si="3"/>
        <v>13</v>
      </c>
      <c r="AM4" s="1">
        <f t="shared" ca="1" si="3"/>
        <v>7</v>
      </c>
      <c r="AN4" s="1">
        <f t="shared" ca="1" si="3"/>
        <v>4</v>
      </c>
    </row>
    <row r="5" spans="1:41" x14ac:dyDescent="0.25">
      <c r="A5">
        <f t="shared" ref="A5:M5" ca="1" si="4">_xlfn.XLOOKUP(A4,$A$15:$A$51,$C$15:$C$51)*36-$C$52+SUM(SUMIF($T$15:$T$74,A4,$V$15:$V$74),SUMIF($U$15:$U$74,A4,$V$15:$V$74))*18-$V$75+SUM(SUMIF($X$15:$X$26,A4,$AA$15:$AA$26),SUMIF($Y$15:$Z$26,A4,$AA$15:$AA$26),SUMIF($Z$15:$Z$26,A4,$AA$15:$AA$26))*12-$AA$27+SUM(SUMIF($AC$15:$AC$37,A4,$AG$15:$AG$37),SUMIF($AD$15:$AD$37,A4,$AG$15:$AG$37),SUMIF($AE$15:$AE$37,A4,$AG$15:$AG$37),SUMIF($AF$15:$AF$37,A4,$AG$15:$AG$37))*9-$AG$38+SUM(SUMIF($AI$15:$AI$25,A4,$AO$15:$AO$25),SUMIF($AJ$15:$AJ$25,A4,$AO$15:$AO$25),SUMIF($AK$15:$AK$25,A4,$AO$15:$AO$25),SUMIF($AL$15:$AL$25,A4,$AO$15:$AO$25),SUMIF($AM$15:$AM$25,A4,$AO$15:$AO$25),SUMIF($AN$15:$AN$25,A4,$AO$15:$AO$25))*6-$AO$26+SUM(IF(ISNUMBER(MATCH(A4,$F$15:$F$26,0)),$F$27*3,0),IF(ISNUMBER(MATCH(A4,$G$15:$G$26,0)),$G$27*3,0),IF(ISNUMBER(MATCH(A4,$H$15:$H$26,0)),$H$27*3,0),IF(ISNUMBER(MATCH(A4,$I$15:$I$26,0)),$I$27*3,0),IF(ISNUMBER(MATCH(A4,$J$15:$J$26,0)),$J$27*3,0),IF(ISNUMBER(MATCH(A4,$K$15:$K$26,0)),$K$27*3,0))-$L$27+SUM(IF(ISNUMBER(MATCH(A4,$N$15:$N$32,0)),$N$33*2,0),IF(ISNUMBER(MATCH(A4,$O$15:$O$32,0)),$O$33*2,0),IF(ISNUMBER(MATCH(A4,$P$15:$P$32,0)),$P$33*2,0),IF(ISNUMBER(MATCH(A4,$Q$15:$Q$32,0)),$Q$33*2,0))-$R$33</f>
        <v>-25</v>
      </c>
      <c r="B5">
        <f t="shared" ca="1" si="4"/>
        <v>25</v>
      </c>
      <c r="C5">
        <f t="shared" ca="1" si="4"/>
        <v>-25</v>
      </c>
      <c r="D5">
        <f t="shared" ca="1" si="4"/>
        <v>25</v>
      </c>
      <c r="E5">
        <f t="shared" ca="1" si="4"/>
        <v>25</v>
      </c>
      <c r="F5">
        <f t="shared" ca="1" si="4"/>
        <v>-25</v>
      </c>
      <c r="G5">
        <f t="shared" ca="1" si="4"/>
        <v>25</v>
      </c>
      <c r="H5">
        <f t="shared" ca="1" si="4"/>
        <v>25</v>
      </c>
      <c r="I5">
        <f t="shared" ca="1" si="4"/>
        <v>-25</v>
      </c>
      <c r="J5">
        <f t="shared" ca="1" si="4"/>
        <v>25</v>
      </c>
      <c r="K5">
        <f t="shared" ca="1" si="4"/>
        <v>25</v>
      </c>
      <c r="L5">
        <f t="shared" ca="1" si="4"/>
        <v>-25</v>
      </c>
      <c r="M5">
        <f t="shared" ca="1" si="4"/>
        <v>25</v>
      </c>
      <c r="O5" t="s">
        <v>34</v>
      </c>
      <c r="P5" s="13">
        <f ca="1">SUM(SUMIF(B3:M3,"&gt;0",B3:M3),SUMIF(A5:M5,"&gt;0",A5:M5),SUMIF(B7:M7,"&gt;0",B7:M7))/P4</f>
        <v>25</v>
      </c>
      <c r="T5" t="s">
        <v>41</v>
      </c>
      <c r="U5">
        <f ca="1">SUM(SUMIF($B$2:$M$2,U4,$B$3:$M$3),SUMIF($A$4:$M$4,U4,$A$5:$M$5),SUMIF($B$6:$M$6,U4,$B$7:$M$7))</f>
        <v>25</v>
      </c>
      <c r="V5">
        <f t="shared" ref="V5:AN5" ca="1" si="5">SUM(SUMIF($B$2:$M$2,V4,$B$3:$M$3),SUMIF($A$4:$M$4,V4,$A$5:$M$5),SUMIF($B$6:$M$6,V4,$B$7:$M$7))</f>
        <v>25</v>
      </c>
      <c r="W5">
        <f t="shared" ca="1" si="5"/>
        <v>25</v>
      </c>
      <c r="X5">
        <f t="shared" ca="1" si="5"/>
        <v>-25</v>
      </c>
      <c r="Y5">
        <f t="shared" ca="1" si="5"/>
        <v>-25</v>
      </c>
      <c r="Z5">
        <f t="shared" ca="1" si="5"/>
        <v>-25</v>
      </c>
      <c r="AA5">
        <f t="shared" ca="1" si="5"/>
        <v>-25</v>
      </c>
      <c r="AB5">
        <f t="shared" ca="1" si="5"/>
        <v>-25</v>
      </c>
      <c r="AC5">
        <f t="shared" ca="1" si="5"/>
        <v>-25</v>
      </c>
      <c r="AD5">
        <f t="shared" ca="1" si="5"/>
        <v>25</v>
      </c>
      <c r="AE5">
        <f t="shared" ca="1" si="5"/>
        <v>25</v>
      </c>
      <c r="AF5">
        <f t="shared" ca="1" si="5"/>
        <v>25</v>
      </c>
      <c r="AG5">
        <f t="shared" ca="1" si="5"/>
        <v>-25</v>
      </c>
      <c r="AH5">
        <f t="shared" ca="1" si="5"/>
        <v>-25</v>
      </c>
      <c r="AI5">
        <f t="shared" ca="1" si="5"/>
        <v>25</v>
      </c>
      <c r="AJ5">
        <f t="shared" ca="1" si="5"/>
        <v>-25</v>
      </c>
      <c r="AK5">
        <f t="shared" ca="1" si="5"/>
        <v>-25</v>
      </c>
      <c r="AL5">
        <f t="shared" ca="1" si="5"/>
        <v>25</v>
      </c>
      <c r="AM5">
        <f t="shared" ca="1" si="5"/>
        <v>-25</v>
      </c>
      <c r="AN5">
        <f t="shared" ca="1" si="5"/>
        <v>25</v>
      </c>
    </row>
    <row r="6" spans="1:41" x14ac:dyDescent="0.25">
      <c r="B6" s="1">
        <v>1</v>
      </c>
      <c r="C6" s="1">
        <v>4</v>
      </c>
      <c r="D6" s="1">
        <v>7</v>
      </c>
      <c r="E6" s="1">
        <v>10</v>
      </c>
      <c r="F6" s="1">
        <v>13</v>
      </c>
      <c r="G6" s="1">
        <v>16</v>
      </c>
      <c r="H6" s="1">
        <v>19</v>
      </c>
      <c r="I6" s="1">
        <v>22</v>
      </c>
      <c r="J6" s="1">
        <v>25</v>
      </c>
      <c r="K6" s="1">
        <v>28</v>
      </c>
      <c r="L6" s="1">
        <v>31</v>
      </c>
      <c r="M6" s="1">
        <v>34</v>
      </c>
      <c r="O6" t="s">
        <v>26</v>
      </c>
      <c r="P6" s="10">
        <f ca="1">P4/37</f>
        <v>0.48648648648648651</v>
      </c>
    </row>
    <row r="7" spans="1:41" x14ac:dyDescent="0.25">
      <c r="B7">
        <f t="shared" ref="B7:M7" ca="1" si="6">_xlfn.XLOOKUP(B6,$A$15:$A$51,$C$15:$C$51)*36-$C$52+SUM(SUMIF($T$15:$T$74,B6,$V$15:$V$74),SUMIF($U$15:$U$74,B6,$V$15:$V$74))*18-$V$75+SUM(SUMIF($X$15:$X$26,B6,$AA$15:$AA$26),SUMIF($Y$15:$Z$26,B6,$AA$15:$AA$26),SUMIF($Z$15:$Z$26,B6,$AA$15:$AA$26))*12-$AA$27+SUM(SUMIF($AC$15:$AC$37,B6,$AG$15:$AG$37),SUMIF($AD$15:$AD$37,B6,$AG$15:$AG$37),SUMIF($AE$15:$AE$37,B6,$AG$15:$AG$37),SUMIF($AF$15:$AF$37,B6,$AG$15:$AG$37))*9-$AG$38+SUM(SUMIF($AI$15:$AI$25,B6,$AO$15:$AO$25),SUMIF($AJ$15:$AJ$25,B6,$AO$15:$AO$25),SUMIF($AK$15:$AK$25,B6,$AO$15:$AO$25),SUMIF($AL$15:$AL$25,B6,$AO$15:$AO$25),SUMIF($AM$15:$AM$25,B6,$AO$15:$AO$25),SUMIF($AN$15:$AN$25,B6,$AO$15:$AO$25))*6-$AO$26+SUM(IF(ISNUMBER(MATCH(B6,$F$15:$F$26,0)),$F$27*3,0),IF(ISNUMBER(MATCH(B6,$G$15:$G$26,0)),$G$27*3,0),IF(ISNUMBER(MATCH(B6,$H$15:$H$26,0)),$H$27*3,0),IF(ISNUMBER(MATCH(B6,$I$15:$I$26,0)),$I$27*3,0),IF(ISNUMBER(MATCH(B6,$J$15:$J$26,0)),$J$27*3,0),IF(ISNUMBER(MATCH(B6,$K$15:$K$26,0)),$K$27*3,0))-$L$27+SUM(IF(ISNUMBER(MATCH(B6,$N$15:$N$32,0)),$N$33*2,0),IF(ISNUMBER(MATCH(B6,$O$15:$O$32,0)),$O$33*2,0),IF(ISNUMBER(MATCH(B6,$P$15:$P$32,0)),$P$33*2,0),IF(ISNUMBER(MATCH(B6,$Q$15:$Q$32,0)),$Q$33*2,0))-$R$33</f>
        <v>-25</v>
      </c>
      <c r="C7">
        <f t="shared" ca="1" si="6"/>
        <v>25</v>
      </c>
      <c r="D7">
        <f t="shared" ca="1" si="6"/>
        <v>-25</v>
      </c>
      <c r="E7">
        <f t="shared" ca="1" si="6"/>
        <v>25</v>
      </c>
      <c r="F7">
        <f t="shared" ca="1" si="6"/>
        <v>25</v>
      </c>
      <c r="G7">
        <f t="shared" ca="1" si="6"/>
        <v>-25</v>
      </c>
      <c r="H7">
        <f t="shared" ca="1" si="6"/>
        <v>-25</v>
      </c>
      <c r="I7">
        <f t="shared" ca="1" si="6"/>
        <v>25</v>
      </c>
      <c r="J7">
        <f t="shared" ca="1" si="6"/>
        <v>-25</v>
      </c>
      <c r="K7">
        <f t="shared" ca="1" si="6"/>
        <v>25</v>
      </c>
      <c r="L7">
        <f t="shared" ca="1" si="6"/>
        <v>25</v>
      </c>
      <c r="M7">
        <f t="shared" ca="1" si="6"/>
        <v>-25</v>
      </c>
      <c r="S7" s="5" t="s">
        <v>45</v>
      </c>
      <c r="T7" s="5" t="s">
        <v>38</v>
      </c>
      <c r="U7" s="20">
        <f ca="1">$U$1+U5</f>
        <v>125</v>
      </c>
      <c r="V7" s="20">
        <f t="shared" ref="V7:AN7" ca="1" si="7">U7+V5</f>
        <v>150</v>
      </c>
      <c r="W7" s="20">
        <f t="shared" ca="1" si="7"/>
        <v>175</v>
      </c>
      <c r="X7" s="20">
        <f t="shared" ca="1" si="7"/>
        <v>150</v>
      </c>
      <c r="Y7" s="20">
        <f t="shared" ca="1" si="7"/>
        <v>125</v>
      </c>
      <c r="Z7" s="20">
        <f t="shared" ca="1" si="7"/>
        <v>100</v>
      </c>
      <c r="AA7" s="20">
        <f t="shared" ca="1" si="7"/>
        <v>75</v>
      </c>
      <c r="AB7" s="20">
        <f t="shared" ca="1" si="7"/>
        <v>50</v>
      </c>
      <c r="AC7" s="20">
        <f t="shared" ca="1" si="7"/>
        <v>25</v>
      </c>
      <c r="AD7" s="20">
        <f t="shared" ca="1" si="7"/>
        <v>50</v>
      </c>
      <c r="AE7" s="20">
        <f t="shared" ca="1" si="7"/>
        <v>75</v>
      </c>
      <c r="AF7" s="20">
        <f t="shared" ca="1" si="7"/>
        <v>100</v>
      </c>
      <c r="AG7" s="20">
        <f t="shared" ca="1" si="7"/>
        <v>75</v>
      </c>
      <c r="AH7" s="20">
        <f t="shared" ca="1" si="7"/>
        <v>50</v>
      </c>
      <c r="AI7" s="20">
        <f t="shared" ca="1" si="7"/>
        <v>75</v>
      </c>
      <c r="AJ7" s="20">
        <f t="shared" ca="1" si="7"/>
        <v>50</v>
      </c>
      <c r="AK7" s="20">
        <f t="shared" ca="1" si="7"/>
        <v>25</v>
      </c>
      <c r="AL7" s="20">
        <f t="shared" ca="1" si="7"/>
        <v>50</v>
      </c>
      <c r="AM7" s="20">
        <f t="shared" ca="1" si="7"/>
        <v>25</v>
      </c>
      <c r="AN7" s="20">
        <f t="shared" ca="1" si="7"/>
        <v>50</v>
      </c>
    </row>
    <row r="8" spans="1:41" x14ac:dyDescent="0.25">
      <c r="E8"/>
      <c r="T8" s="21" t="s">
        <v>46</v>
      </c>
    </row>
    <row r="9" spans="1:41" x14ac:dyDescent="0.25">
      <c r="E9"/>
      <c r="S9" s="5" t="s">
        <v>43</v>
      </c>
      <c r="T9" s="5" t="s">
        <v>3</v>
      </c>
      <c r="U9" s="5">
        <f>$P$2</f>
        <v>25</v>
      </c>
      <c r="V9" s="5">
        <f ca="1">IF(U5&gt;0,$P$2,U9*2)</f>
        <v>25</v>
      </c>
      <c r="W9" s="5">
        <f t="shared" ref="W9:AN9" ca="1" si="8">IF(V5&gt;0,$P$2,V9*2)</f>
        <v>25</v>
      </c>
      <c r="X9" s="5">
        <f t="shared" ca="1" si="8"/>
        <v>25</v>
      </c>
      <c r="Y9" s="5">
        <f t="shared" ca="1" si="8"/>
        <v>50</v>
      </c>
      <c r="Z9" s="5">
        <f t="shared" ca="1" si="8"/>
        <v>100</v>
      </c>
      <c r="AA9" s="5">
        <f t="shared" ca="1" si="8"/>
        <v>200</v>
      </c>
      <c r="AB9" s="5">
        <f t="shared" ca="1" si="8"/>
        <v>400</v>
      </c>
      <c r="AC9" s="5">
        <f t="shared" ca="1" si="8"/>
        <v>800</v>
      </c>
      <c r="AD9" s="5">
        <f t="shared" ca="1" si="8"/>
        <v>1600</v>
      </c>
      <c r="AE9" s="5">
        <f t="shared" ca="1" si="8"/>
        <v>25</v>
      </c>
      <c r="AF9" s="5">
        <f t="shared" ca="1" si="8"/>
        <v>25</v>
      </c>
      <c r="AG9" s="5">
        <f t="shared" ca="1" si="8"/>
        <v>25</v>
      </c>
      <c r="AH9" s="5">
        <f t="shared" ca="1" si="8"/>
        <v>50</v>
      </c>
      <c r="AI9" s="5">
        <f t="shared" ca="1" si="8"/>
        <v>100</v>
      </c>
      <c r="AJ9" s="5">
        <f t="shared" ca="1" si="8"/>
        <v>25</v>
      </c>
      <c r="AK9" s="5">
        <f t="shared" ca="1" si="8"/>
        <v>50</v>
      </c>
      <c r="AL9" s="5">
        <f t="shared" ca="1" si="8"/>
        <v>100</v>
      </c>
      <c r="AM9" s="5">
        <f t="shared" ca="1" si="8"/>
        <v>25</v>
      </c>
      <c r="AN9" s="5">
        <f t="shared" ca="1" si="8"/>
        <v>50</v>
      </c>
    </row>
    <row r="10" spans="1:41" x14ac:dyDescent="0.25">
      <c r="E10"/>
      <c r="T10" s="5" t="s">
        <v>38</v>
      </c>
      <c r="U10" s="20">
        <f ca="1">U1+U5</f>
        <v>125</v>
      </c>
      <c r="V10" s="20">
        <f ca="1">U10+IF(V5&gt;0,V5,V5*-1)</f>
        <v>150</v>
      </c>
      <c r="W10" s="20">
        <f t="shared" ref="W10:AN10" ca="1" si="9">V10+IF(W5&gt;0,W9,W9*-1)</f>
        <v>175</v>
      </c>
      <c r="X10" s="20">
        <f t="shared" ca="1" si="9"/>
        <v>150</v>
      </c>
      <c r="Y10" s="20">
        <f t="shared" ca="1" si="9"/>
        <v>100</v>
      </c>
      <c r="Z10" s="20">
        <f t="shared" ca="1" si="9"/>
        <v>0</v>
      </c>
      <c r="AA10" s="20">
        <f t="shared" ca="1" si="9"/>
        <v>-200</v>
      </c>
      <c r="AB10" s="20">
        <f t="shared" ca="1" si="9"/>
        <v>-600</v>
      </c>
      <c r="AC10" s="20">
        <f t="shared" ca="1" si="9"/>
        <v>-1400</v>
      </c>
      <c r="AD10" s="20">
        <f t="shared" ca="1" si="9"/>
        <v>200</v>
      </c>
      <c r="AE10" s="20">
        <f t="shared" ca="1" si="9"/>
        <v>225</v>
      </c>
      <c r="AF10" s="20">
        <f t="shared" ca="1" si="9"/>
        <v>250</v>
      </c>
      <c r="AG10" s="20">
        <f t="shared" ca="1" si="9"/>
        <v>225</v>
      </c>
      <c r="AH10" s="20">
        <f t="shared" ca="1" si="9"/>
        <v>175</v>
      </c>
      <c r="AI10" s="20">
        <f t="shared" ca="1" si="9"/>
        <v>275</v>
      </c>
      <c r="AJ10" s="20">
        <f t="shared" ca="1" si="9"/>
        <v>250</v>
      </c>
      <c r="AK10" s="20">
        <f t="shared" ca="1" si="9"/>
        <v>200</v>
      </c>
      <c r="AL10" s="20">
        <f t="shared" ca="1" si="9"/>
        <v>300</v>
      </c>
      <c r="AM10" s="20">
        <f t="shared" ca="1" si="9"/>
        <v>275</v>
      </c>
      <c r="AN10" s="20">
        <f t="shared" ca="1" si="9"/>
        <v>325</v>
      </c>
    </row>
    <row r="11" spans="1:41" x14ac:dyDescent="0.25">
      <c r="A11" s="19"/>
      <c r="E11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1" x14ac:dyDescent="0.25">
      <c r="E12"/>
      <c r="T12" t="s">
        <v>8</v>
      </c>
      <c r="X12" t="s">
        <v>12</v>
      </c>
      <c r="AC12" t="s">
        <v>14</v>
      </c>
      <c r="AD12" t="s">
        <v>18</v>
      </c>
      <c r="AI12" t="s">
        <v>19</v>
      </c>
    </row>
    <row r="13" spans="1:41" x14ac:dyDescent="0.25">
      <c r="A13" t="s">
        <v>9</v>
      </c>
      <c r="C13" s="3" t="s">
        <v>40</v>
      </c>
      <c r="E13"/>
      <c r="F13" s="3" t="s">
        <v>28</v>
      </c>
      <c r="N13" s="3" t="s">
        <v>29</v>
      </c>
      <c r="T13" s="3" t="s">
        <v>30</v>
      </c>
      <c r="U13" t="s">
        <v>27</v>
      </c>
      <c r="V13">
        <v>5</v>
      </c>
      <c r="X13" s="3" t="s">
        <v>31</v>
      </c>
      <c r="Z13" t="s">
        <v>27</v>
      </c>
      <c r="AA13">
        <v>5</v>
      </c>
      <c r="AC13" s="3" t="s">
        <v>32</v>
      </c>
      <c r="AF13" t="s">
        <v>27</v>
      </c>
      <c r="AG13">
        <v>5</v>
      </c>
      <c r="AI13" s="3" t="s">
        <v>33</v>
      </c>
      <c r="AN13" t="s">
        <v>27</v>
      </c>
      <c r="AO13">
        <v>5</v>
      </c>
    </row>
    <row r="14" spans="1:41" x14ac:dyDescent="0.25">
      <c r="A14" s="5" t="s">
        <v>2</v>
      </c>
      <c r="B14" s="5" t="s">
        <v>4</v>
      </c>
      <c r="C14" s="5" t="s">
        <v>3</v>
      </c>
      <c r="E14"/>
      <c r="F14" s="5" t="s">
        <v>15</v>
      </c>
      <c r="G14" s="5" t="s">
        <v>15</v>
      </c>
      <c r="H14" s="5" t="s">
        <v>15</v>
      </c>
      <c r="I14" s="5" t="s">
        <v>16</v>
      </c>
      <c r="J14" s="5" t="s">
        <v>16</v>
      </c>
      <c r="K14" s="5" t="s">
        <v>16</v>
      </c>
      <c r="N14" s="5" t="s">
        <v>23</v>
      </c>
      <c r="O14" s="5" t="s">
        <v>24</v>
      </c>
      <c r="P14" s="5" t="s">
        <v>5</v>
      </c>
      <c r="Q14" s="5" t="s">
        <v>6</v>
      </c>
      <c r="T14" s="5" t="s">
        <v>10</v>
      </c>
      <c r="U14" s="5" t="s">
        <v>11</v>
      </c>
      <c r="V14" s="5" t="s">
        <v>3</v>
      </c>
      <c r="X14" s="5" t="s">
        <v>10</v>
      </c>
      <c r="Y14" s="5" t="s">
        <v>11</v>
      </c>
      <c r="Z14" s="5" t="s">
        <v>13</v>
      </c>
      <c r="AA14" s="5" t="s">
        <v>3</v>
      </c>
      <c r="AC14" s="5" t="s">
        <v>10</v>
      </c>
      <c r="AD14" s="5" t="s">
        <v>11</v>
      </c>
      <c r="AE14" s="5" t="s">
        <v>13</v>
      </c>
      <c r="AF14" s="5" t="s">
        <v>17</v>
      </c>
      <c r="AG14" s="5" t="s">
        <v>3</v>
      </c>
      <c r="AI14" s="5" t="s">
        <v>10</v>
      </c>
      <c r="AJ14" s="5" t="s">
        <v>11</v>
      </c>
      <c r="AK14" s="5" t="s">
        <v>13</v>
      </c>
      <c r="AL14" s="5" t="s">
        <v>17</v>
      </c>
      <c r="AM14" s="5" t="s">
        <v>20</v>
      </c>
      <c r="AN14" s="5" t="s">
        <v>21</v>
      </c>
      <c r="AO14" s="5" t="s">
        <v>3</v>
      </c>
    </row>
    <row r="15" spans="1:41" x14ac:dyDescent="0.25">
      <c r="A15" s="6">
        <v>0</v>
      </c>
      <c r="B15" s="5" t="s">
        <v>7</v>
      </c>
      <c r="C15" s="7"/>
      <c r="E15"/>
      <c r="F15" s="8">
        <v>1</v>
      </c>
      <c r="G15" s="8">
        <v>2</v>
      </c>
      <c r="H15" s="8">
        <v>3</v>
      </c>
      <c r="I15" s="5">
        <v>1</v>
      </c>
      <c r="J15" s="5">
        <v>13</v>
      </c>
      <c r="K15" s="5">
        <v>25</v>
      </c>
      <c r="N15" s="5">
        <v>1</v>
      </c>
      <c r="O15" s="5">
        <v>19</v>
      </c>
      <c r="P15" s="14">
        <v>1</v>
      </c>
      <c r="Q15" s="15">
        <v>2</v>
      </c>
      <c r="T15" s="8">
        <v>0</v>
      </c>
      <c r="U15" s="8">
        <v>1</v>
      </c>
      <c r="V15" s="7"/>
      <c r="X15" s="5">
        <v>1</v>
      </c>
      <c r="Y15" s="5">
        <v>2</v>
      </c>
      <c r="Z15" s="5">
        <v>3</v>
      </c>
      <c r="AA15" s="7"/>
      <c r="AC15" s="5">
        <v>0</v>
      </c>
      <c r="AD15" s="5">
        <v>1</v>
      </c>
      <c r="AE15" s="5">
        <v>2</v>
      </c>
      <c r="AF15" s="5">
        <v>3</v>
      </c>
      <c r="AG15" s="7"/>
      <c r="AI15" s="5">
        <v>1</v>
      </c>
      <c r="AJ15" s="5">
        <v>2</v>
      </c>
      <c r="AK15" s="5">
        <v>3</v>
      </c>
      <c r="AL15" s="5">
        <v>4</v>
      </c>
      <c r="AM15" s="5">
        <v>5</v>
      </c>
      <c r="AN15" s="5">
        <v>6</v>
      </c>
      <c r="AO15" s="7"/>
    </row>
    <row r="16" spans="1:41" x14ac:dyDescent="0.25">
      <c r="A16" s="8">
        <v>1</v>
      </c>
      <c r="B16" s="5" t="s">
        <v>5</v>
      </c>
      <c r="C16" s="7"/>
      <c r="E16"/>
      <c r="F16" s="8">
        <v>4</v>
      </c>
      <c r="G16" s="8">
        <v>5</v>
      </c>
      <c r="H16" s="8">
        <v>6</v>
      </c>
      <c r="I16" s="5">
        <v>2</v>
      </c>
      <c r="J16" s="5">
        <v>14</v>
      </c>
      <c r="K16" s="5">
        <v>26</v>
      </c>
      <c r="N16" s="5">
        <v>2</v>
      </c>
      <c r="O16" s="5">
        <v>20</v>
      </c>
      <c r="P16" s="14">
        <v>3</v>
      </c>
      <c r="Q16" s="15">
        <v>4</v>
      </c>
      <c r="T16" s="8">
        <v>0</v>
      </c>
      <c r="U16" s="8">
        <v>2</v>
      </c>
      <c r="V16" s="7"/>
      <c r="X16" s="5">
        <v>4</v>
      </c>
      <c r="Y16" s="5">
        <v>5</v>
      </c>
      <c r="Z16" s="5">
        <v>6</v>
      </c>
      <c r="AA16" s="7"/>
      <c r="AC16" s="5">
        <v>1</v>
      </c>
      <c r="AD16" s="5">
        <v>2</v>
      </c>
      <c r="AE16" s="5">
        <v>4</v>
      </c>
      <c r="AF16" s="5">
        <v>5</v>
      </c>
      <c r="AG16" s="7"/>
      <c r="AI16" s="5">
        <v>4</v>
      </c>
      <c r="AJ16" s="5">
        <v>5</v>
      </c>
      <c r="AK16" s="5">
        <v>6</v>
      </c>
      <c r="AL16" s="5">
        <v>7</v>
      </c>
      <c r="AM16" s="5">
        <v>8</v>
      </c>
      <c r="AN16" s="5">
        <v>9</v>
      </c>
      <c r="AO16" s="7"/>
    </row>
    <row r="17" spans="1:41" x14ac:dyDescent="0.25">
      <c r="A17" s="8">
        <v>2</v>
      </c>
      <c r="B17" s="5" t="s">
        <v>6</v>
      </c>
      <c r="C17" s="7"/>
      <c r="E17"/>
      <c r="F17" s="8">
        <v>7</v>
      </c>
      <c r="G17" s="8">
        <v>8</v>
      </c>
      <c r="H17" s="8">
        <v>9</v>
      </c>
      <c r="I17" s="5">
        <v>3</v>
      </c>
      <c r="J17" s="5">
        <v>15</v>
      </c>
      <c r="K17" s="5">
        <v>27</v>
      </c>
      <c r="N17" s="5">
        <v>3</v>
      </c>
      <c r="O17" s="5">
        <v>21</v>
      </c>
      <c r="P17" s="14">
        <v>5</v>
      </c>
      <c r="Q17" s="15">
        <v>6</v>
      </c>
      <c r="T17" s="8">
        <v>0</v>
      </c>
      <c r="U17" s="8">
        <v>3</v>
      </c>
      <c r="V17" s="7"/>
      <c r="X17" s="5">
        <v>7</v>
      </c>
      <c r="Y17" s="5">
        <v>8</v>
      </c>
      <c r="Z17" s="5">
        <v>9</v>
      </c>
      <c r="AA17" s="7"/>
      <c r="AC17" s="5">
        <v>2</v>
      </c>
      <c r="AD17" s="5">
        <v>3</v>
      </c>
      <c r="AE17" s="5">
        <v>5</v>
      </c>
      <c r="AF17" s="5">
        <v>6</v>
      </c>
      <c r="AG17" s="7"/>
      <c r="AI17" s="5">
        <v>7</v>
      </c>
      <c r="AJ17" s="5">
        <v>8</v>
      </c>
      <c r="AK17" s="5">
        <v>9</v>
      </c>
      <c r="AL17" s="5">
        <v>10</v>
      </c>
      <c r="AM17" s="5">
        <v>11</v>
      </c>
      <c r="AN17" s="5">
        <v>12</v>
      </c>
      <c r="AO17" s="7"/>
    </row>
    <row r="18" spans="1:41" x14ac:dyDescent="0.25">
      <c r="A18" s="8">
        <v>3</v>
      </c>
      <c r="B18" s="5" t="s">
        <v>5</v>
      </c>
      <c r="C18" s="7"/>
      <c r="E18"/>
      <c r="F18" s="8">
        <v>10</v>
      </c>
      <c r="G18" s="8">
        <v>11</v>
      </c>
      <c r="H18" s="8">
        <v>12</v>
      </c>
      <c r="I18" s="5">
        <v>4</v>
      </c>
      <c r="J18" s="5">
        <v>16</v>
      </c>
      <c r="K18" s="5">
        <v>28</v>
      </c>
      <c r="N18" s="5">
        <v>4</v>
      </c>
      <c r="O18" s="5">
        <v>22</v>
      </c>
      <c r="P18" s="14">
        <v>7</v>
      </c>
      <c r="Q18" s="15">
        <v>8</v>
      </c>
      <c r="T18" s="8">
        <v>1</v>
      </c>
      <c r="U18" s="8">
        <v>2</v>
      </c>
      <c r="V18" s="7"/>
      <c r="X18" s="5">
        <v>10</v>
      </c>
      <c r="Y18" s="5">
        <v>11</v>
      </c>
      <c r="Z18" s="5">
        <v>12</v>
      </c>
      <c r="AA18" s="7"/>
      <c r="AC18" s="5">
        <v>4</v>
      </c>
      <c r="AD18" s="5">
        <v>5</v>
      </c>
      <c r="AE18" s="5">
        <v>7</v>
      </c>
      <c r="AF18" s="5">
        <v>8</v>
      </c>
      <c r="AG18" s="7"/>
      <c r="AI18" s="5">
        <v>10</v>
      </c>
      <c r="AJ18" s="5">
        <v>11</v>
      </c>
      <c r="AK18" s="5">
        <v>12</v>
      </c>
      <c r="AL18" s="5">
        <v>13</v>
      </c>
      <c r="AM18" s="5">
        <v>14</v>
      </c>
      <c r="AN18" s="5">
        <v>15</v>
      </c>
      <c r="AO18" s="7"/>
    </row>
    <row r="19" spans="1:41" x14ac:dyDescent="0.25">
      <c r="A19" s="8">
        <v>4</v>
      </c>
      <c r="B19" s="5" t="s">
        <v>6</v>
      </c>
      <c r="C19" s="7"/>
      <c r="E19"/>
      <c r="F19" s="8">
        <v>13</v>
      </c>
      <c r="G19" s="8">
        <v>14</v>
      </c>
      <c r="H19" s="8">
        <v>15</v>
      </c>
      <c r="I19" s="5">
        <v>5</v>
      </c>
      <c r="J19" s="5">
        <v>17</v>
      </c>
      <c r="K19" s="5">
        <v>29</v>
      </c>
      <c r="N19" s="5">
        <v>5</v>
      </c>
      <c r="O19" s="5">
        <v>23</v>
      </c>
      <c r="P19" s="14">
        <v>9</v>
      </c>
      <c r="Q19" s="15">
        <v>10</v>
      </c>
      <c r="T19" s="8">
        <v>1</v>
      </c>
      <c r="U19" s="8">
        <v>4</v>
      </c>
      <c r="V19" s="7"/>
      <c r="X19" s="5">
        <v>13</v>
      </c>
      <c r="Y19" s="5">
        <v>14</v>
      </c>
      <c r="Z19" s="5">
        <v>15</v>
      </c>
      <c r="AA19" s="7"/>
      <c r="AC19" s="5">
        <v>5</v>
      </c>
      <c r="AD19" s="5">
        <v>6</v>
      </c>
      <c r="AE19" s="5">
        <v>8</v>
      </c>
      <c r="AF19" s="5">
        <v>9</v>
      </c>
      <c r="AG19" s="7"/>
      <c r="AI19" s="5">
        <v>13</v>
      </c>
      <c r="AJ19" s="5">
        <v>14</v>
      </c>
      <c r="AK19" s="5">
        <v>15</v>
      </c>
      <c r="AL19" s="5">
        <v>16</v>
      </c>
      <c r="AM19" s="5">
        <v>17</v>
      </c>
      <c r="AN19" s="5">
        <v>18</v>
      </c>
      <c r="AO19" s="7"/>
    </row>
    <row r="20" spans="1:41" x14ac:dyDescent="0.25">
      <c r="A20" s="8">
        <v>5</v>
      </c>
      <c r="B20" s="5" t="s">
        <v>5</v>
      </c>
      <c r="C20" s="7"/>
      <c r="E20"/>
      <c r="F20" s="8">
        <v>16</v>
      </c>
      <c r="G20" s="8">
        <v>17</v>
      </c>
      <c r="H20" s="8">
        <v>18</v>
      </c>
      <c r="I20" s="5">
        <v>6</v>
      </c>
      <c r="J20" s="5">
        <v>18</v>
      </c>
      <c r="K20" s="5">
        <v>30</v>
      </c>
      <c r="N20" s="5">
        <v>6</v>
      </c>
      <c r="O20" s="5">
        <v>24</v>
      </c>
      <c r="P20" s="14">
        <v>12</v>
      </c>
      <c r="Q20" s="15">
        <v>11</v>
      </c>
      <c r="T20" s="8">
        <v>2</v>
      </c>
      <c r="U20" s="8">
        <v>3</v>
      </c>
      <c r="V20" s="7"/>
      <c r="X20" s="5">
        <v>16</v>
      </c>
      <c r="Y20" s="5">
        <v>17</v>
      </c>
      <c r="Z20" s="5">
        <v>18</v>
      </c>
      <c r="AA20" s="7"/>
      <c r="AC20" s="5">
        <v>7</v>
      </c>
      <c r="AD20" s="5">
        <v>8</v>
      </c>
      <c r="AE20" s="5">
        <v>10</v>
      </c>
      <c r="AF20" s="5">
        <v>11</v>
      </c>
      <c r="AG20" s="7"/>
      <c r="AI20" s="5">
        <v>16</v>
      </c>
      <c r="AJ20" s="5">
        <v>17</v>
      </c>
      <c r="AK20" s="5">
        <v>18</v>
      </c>
      <c r="AL20" s="5">
        <v>19</v>
      </c>
      <c r="AM20" s="5">
        <v>20</v>
      </c>
      <c r="AN20" s="5">
        <v>21</v>
      </c>
      <c r="AO20" s="7"/>
    </row>
    <row r="21" spans="1:41" x14ac:dyDescent="0.25">
      <c r="A21" s="8">
        <v>6</v>
      </c>
      <c r="B21" s="5" t="s">
        <v>6</v>
      </c>
      <c r="C21" s="7"/>
      <c r="E21"/>
      <c r="F21" s="8">
        <v>19</v>
      </c>
      <c r="G21" s="8">
        <v>20</v>
      </c>
      <c r="H21" s="8">
        <v>21</v>
      </c>
      <c r="I21" s="5">
        <v>7</v>
      </c>
      <c r="J21" s="5">
        <v>19</v>
      </c>
      <c r="K21" s="5">
        <v>31</v>
      </c>
      <c r="N21" s="5">
        <v>7</v>
      </c>
      <c r="O21" s="5">
        <v>25</v>
      </c>
      <c r="P21" s="14">
        <v>14</v>
      </c>
      <c r="Q21" s="15">
        <v>13</v>
      </c>
      <c r="T21" s="8">
        <v>2</v>
      </c>
      <c r="U21" s="8">
        <v>5</v>
      </c>
      <c r="V21" s="7"/>
      <c r="X21" s="5">
        <v>19</v>
      </c>
      <c r="Y21" s="5">
        <v>20</v>
      </c>
      <c r="Z21" s="5">
        <v>21</v>
      </c>
      <c r="AA21" s="7"/>
      <c r="AC21" s="5">
        <v>8</v>
      </c>
      <c r="AD21" s="5">
        <v>9</v>
      </c>
      <c r="AE21" s="5">
        <v>11</v>
      </c>
      <c r="AF21" s="5">
        <v>12</v>
      </c>
      <c r="AG21" s="7"/>
      <c r="AI21" s="5">
        <v>19</v>
      </c>
      <c r="AJ21" s="5">
        <v>20</v>
      </c>
      <c r="AK21" s="5">
        <v>21</v>
      </c>
      <c r="AL21" s="5">
        <v>22</v>
      </c>
      <c r="AM21" s="5">
        <v>23</v>
      </c>
      <c r="AN21" s="5">
        <v>24</v>
      </c>
      <c r="AO21" s="7"/>
    </row>
    <row r="22" spans="1:41" x14ac:dyDescent="0.25">
      <c r="A22" s="8">
        <v>7</v>
      </c>
      <c r="B22" s="5" t="s">
        <v>5</v>
      </c>
      <c r="C22" s="7"/>
      <c r="E22"/>
      <c r="F22" s="8">
        <v>22</v>
      </c>
      <c r="G22" s="8">
        <v>23</v>
      </c>
      <c r="H22" s="8">
        <v>24</v>
      </c>
      <c r="I22" s="5">
        <v>8</v>
      </c>
      <c r="J22" s="5">
        <v>20</v>
      </c>
      <c r="K22" s="5">
        <v>32</v>
      </c>
      <c r="N22" s="5">
        <v>8</v>
      </c>
      <c r="O22" s="5">
        <v>26</v>
      </c>
      <c r="P22" s="14">
        <v>16</v>
      </c>
      <c r="Q22" s="15">
        <v>15</v>
      </c>
      <c r="T22" s="8">
        <v>3</v>
      </c>
      <c r="U22" s="8">
        <v>6</v>
      </c>
      <c r="V22" s="7"/>
      <c r="X22" s="5">
        <v>22</v>
      </c>
      <c r="Y22" s="5">
        <v>23</v>
      </c>
      <c r="Z22" s="5">
        <v>24</v>
      </c>
      <c r="AA22" s="7"/>
      <c r="AC22" s="5">
        <v>10</v>
      </c>
      <c r="AD22" s="5">
        <v>11</v>
      </c>
      <c r="AE22" s="5">
        <v>13</v>
      </c>
      <c r="AF22" s="5">
        <v>14</v>
      </c>
      <c r="AG22" s="7"/>
      <c r="AI22" s="5">
        <v>22</v>
      </c>
      <c r="AJ22" s="5">
        <v>23</v>
      </c>
      <c r="AK22" s="5">
        <v>24</v>
      </c>
      <c r="AL22" s="5">
        <v>25</v>
      </c>
      <c r="AM22" s="5">
        <v>26</v>
      </c>
      <c r="AN22" s="5">
        <v>27</v>
      </c>
      <c r="AO22" s="7"/>
    </row>
    <row r="23" spans="1:41" x14ac:dyDescent="0.25">
      <c r="A23" s="8">
        <v>8</v>
      </c>
      <c r="B23" s="5" t="s">
        <v>6</v>
      </c>
      <c r="C23" s="7"/>
      <c r="E23"/>
      <c r="F23" s="8">
        <v>25</v>
      </c>
      <c r="G23" s="8">
        <v>26</v>
      </c>
      <c r="H23" s="8">
        <v>27</v>
      </c>
      <c r="I23" s="5">
        <v>9</v>
      </c>
      <c r="J23" s="5">
        <v>21</v>
      </c>
      <c r="K23" s="5">
        <v>33</v>
      </c>
      <c r="N23" s="5">
        <v>9</v>
      </c>
      <c r="O23" s="5">
        <v>27</v>
      </c>
      <c r="P23" s="14">
        <v>18</v>
      </c>
      <c r="Q23" s="15">
        <v>17</v>
      </c>
      <c r="T23" s="8">
        <v>4</v>
      </c>
      <c r="U23" s="8">
        <v>5</v>
      </c>
      <c r="V23" s="7"/>
      <c r="X23" s="5">
        <v>25</v>
      </c>
      <c r="Y23" s="5">
        <v>26</v>
      </c>
      <c r="Z23" s="5">
        <v>27</v>
      </c>
      <c r="AA23" s="7"/>
      <c r="AC23" s="5">
        <v>11</v>
      </c>
      <c r="AD23" s="5">
        <v>12</v>
      </c>
      <c r="AE23" s="5">
        <v>14</v>
      </c>
      <c r="AF23" s="5">
        <v>15</v>
      </c>
      <c r="AG23" s="7"/>
      <c r="AI23" s="5">
        <v>25</v>
      </c>
      <c r="AJ23" s="5">
        <v>26</v>
      </c>
      <c r="AK23" s="5">
        <v>27</v>
      </c>
      <c r="AL23" s="5">
        <v>28</v>
      </c>
      <c r="AM23" s="5">
        <v>29</v>
      </c>
      <c r="AN23" s="5">
        <v>30</v>
      </c>
      <c r="AO23" s="7"/>
    </row>
    <row r="24" spans="1:41" x14ac:dyDescent="0.25">
      <c r="A24" s="8">
        <v>9</v>
      </c>
      <c r="B24" s="5" t="s">
        <v>5</v>
      </c>
      <c r="C24" s="7"/>
      <c r="E24"/>
      <c r="F24" s="8">
        <v>28</v>
      </c>
      <c r="G24" s="8">
        <v>29</v>
      </c>
      <c r="H24" s="8">
        <v>30</v>
      </c>
      <c r="I24" s="5">
        <v>10</v>
      </c>
      <c r="J24" s="5">
        <v>22</v>
      </c>
      <c r="K24" s="5">
        <v>34</v>
      </c>
      <c r="N24" s="5">
        <v>10</v>
      </c>
      <c r="O24" s="5">
        <v>28</v>
      </c>
      <c r="P24" s="14">
        <v>19</v>
      </c>
      <c r="Q24" s="15">
        <v>20</v>
      </c>
      <c r="T24" s="8">
        <v>4</v>
      </c>
      <c r="U24" s="8">
        <v>7</v>
      </c>
      <c r="V24" s="7"/>
      <c r="X24" s="5">
        <v>28</v>
      </c>
      <c r="Y24" s="5">
        <v>29</v>
      </c>
      <c r="Z24" s="5">
        <v>30</v>
      </c>
      <c r="AA24" s="7"/>
      <c r="AC24" s="5">
        <v>13</v>
      </c>
      <c r="AD24" s="5">
        <v>14</v>
      </c>
      <c r="AE24" s="5">
        <v>16</v>
      </c>
      <c r="AF24" s="5">
        <v>17</v>
      </c>
      <c r="AG24" s="7"/>
      <c r="AI24" s="5">
        <v>28</v>
      </c>
      <c r="AJ24" s="5">
        <v>29</v>
      </c>
      <c r="AK24" s="5">
        <v>30</v>
      </c>
      <c r="AL24" s="5">
        <v>31</v>
      </c>
      <c r="AM24" s="5">
        <v>32</v>
      </c>
      <c r="AN24" s="5">
        <v>33</v>
      </c>
      <c r="AO24" s="7"/>
    </row>
    <row r="25" spans="1:41" x14ac:dyDescent="0.25">
      <c r="A25" s="8">
        <v>10</v>
      </c>
      <c r="B25" s="5" t="s">
        <v>6</v>
      </c>
      <c r="C25" s="7"/>
      <c r="E25"/>
      <c r="F25" s="8">
        <v>31</v>
      </c>
      <c r="G25" s="8">
        <v>32</v>
      </c>
      <c r="H25" s="8">
        <v>33</v>
      </c>
      <c r="I25" s="5">
        <v>11</v>
      </c>
      <c r="J25" s="5">
        <v>23</v>
      </c>
      <c r="K25" s="5">
        <v>35</v>
      </c>
      <c r="N25" s="5">
        <v>11</v>
      </c>
      <c r="O25" s="5">
        <v>29</v>
      </c>
      <c r="P25" s="14">
        <v>21</v>
      </c>
      <c r="Q25" s="15">
        <v>22</v>
      </c>
      <c r="T25" s="8">
        <v>5</v>
      </c>
      <c r="U25" s="8">
        <v>6</v>
      </c>
      <c r="V25" s="7"/>
      <c r="X25" s="5">
        <v>31</v>
      </c>
      <c r="Y25" s="5">
        <v>32</v>
      </c>
      <c r="Z25" s="5">
        <v>33</v>
      </c>
      <c r="AA25" s="7"/>
      <c r="AC25" s="5">
        <v>14</v>
      </c>
      <c r="AD25" s="5">
        <v>15</v>
      </c>
      <c r="AE25" s="5">
        <v>17</v>
      </c>
      <c r="AF25" s="5">
        <v>18</v>
      </c>
      <c r="AG25" s="7"/>
      <c r="AI25" s="5">
        <v>31</v>
      </c>
      <c r="AJ25" s="5">
        <v>32</v>
      </c>
      <c r="AK25" s="5">
        <v>33</v>
      </c>
      <c r="AL25" s="5">
        <v>34</v>
      </c>
      <c r="AM25" s="5">
        <v>35</v>
      </c>
      <c r="AN25" s="5">
        <v>36</v>
      </c>
      <c r="AO25" s="7"/>
    </row>
    <row r="26" spans="1:41" x14ac:dyDescent="0.25">
      <c r="A26" s="8">
        <v>11</v>
      </c>
      <c r="B26" s="5" t="s">
        <v>6</v>
      </c>
      <c r="C26" s="7"/>
      <c r="E26"/>
      <c r="F26" s="8">
        <v>34</v>
      </c>
      <c r="G26" s="8">
        <v>35</v>
      </c>
      <c r="H26" s="8">
        <v>36</v>
      </c>
      <c r="I26" s="5">
        <v>12</v>
      </c>
      <c r="J26" s="5">
        <v>24</v>
      </c>
      <c r="K26" s="5">
        <v>36</v>
      </c>
      <c r="L26" s="5" t="s">
        <v>22</v>
      </c>
      <c r="N26" s="5">
        <v>12</v>
      </c>
      <c r="O26" s="5">
        <v>30</v>
      </c>
      <c r="P26" s="14">
        <v>23</v>
      </c>
      <c r="Q26" s="15">
        <v>24</v>
      </c>
      <c r="T26" s="8">
        <v>5</v>
      </c>
      <c r="U26" s="8">
        <v>8</v>
      </c>
      <c r="V26" s="7"/>
      <c r="X26" s="5">
        <v>34</v>
      </c>
      <c r="Y26" s="5">
        <v>35</v>
      </c>
      <c r="Z26" s="5">
        <v>36</v>
      </c>
      <c r="AA26" s="7"/>
      <c r="AC26" s="5">
        <v>16</v>
      </c>
      <c r="AD26" s="5">
        <v>17</v>
      </c>
      <c r="AE26" s="5">
        <v>19</v>
      </c>
      <c r="AF26" s="5">
        <v>20</v>
      </c>
      <c r="AG26" s="7"/>
      <c r="AI26" s="5" t="s">
        <v>22</v>
      </c>
      <c r="AJ26" s="5"/>
      <c r="AK26" s="5"/>
      <c r="AL26" s="5"/>
      <c r="AM26" s="5"/>
      <c r="AN26" s="5"/>
      <c r="AO26" s="5">
        <f>SUM(AO15:AO25)</f>
        <v>0</v>
      </c>
    </row>
    <row r="27" spans="1:41" x14ac:dyDescent="0.25">
      <c r="A27" s="8">
        <v>12</v>
      </c>
      <c r="B27" s="5" t="s">
        <v>5</v>
      </c>
      <c r="C27" s="7"/>
      <c r="E27" t="s">
        <v>3</v>
      </c>
      <c r="F27" s="9"/>
      <c r="G27" s="7"/>
      <c r="H27" s="7"/>
      <c r="I27" s="7"/>
      <c r="J27" s="7"/>
      <c r="K27" s="11"/>
      <c r="L27" s="5">
        <f>SUM(F27:K27)</f>
        <v>0</v>
      </c>
      <c r="N27" s="5">
        <v>13</v>
      </c>
      <c r="O27" s="5">
        <v>31</v>
      </c>
      <c r="P27" s="14">
        <v>25</v>
      </c>
      <c r="Q27" s="15">
        <v>26</v>
      </c>
      <c r="T27" s="8">
        <v>6</v>
      </c>
      <c r="U27" s="8">
        <v>9</v>
      </c>
      <c r="V27" s="7"/>
      <c r="X27" s="5" t="s">
        <v>22</v>
      </c>
      <c r="Y27" s="5"/>
      <c r="Z27" s="5"/>
      <c r="AA27" s="5">
        <f>SUM(AA15:AA26)</f>
        <v>0</v>
      </c>
      <c r="AC27" s="5">
        <v>17</v>
      </c>
      <c r="AD27" s="5">
        <v>18</v>
      </c>
      <c r="AE27" s="5">
        <v>20</v>
      </c>
      <c r="AF27" s="5">
        <v>21</v>
      </c>
      <c r="AG27" s="7"/>
    </row>
    <row r="28" spans="1:41" x14ac:dyDescent="0.25">
      <c r="A28" s="8">
        <v>13</v>
      </c>
      <c r="B28" s="5" t="s">
        <v>6</v>
      </c>
      <c r="C28" s="7"/>
      <c r="E28" t="s">
        <v>27</v>
      </c>
      <c r="F28">
        <v>25</v>
      </c>
      <c r="K28" s="12"/>
      <c r="N28" s="5">
        <v>14</v>
      </c>
      <c r="O28" s="5">
        <v>32</v>
      </c>
      <c r="P28" s="14">
        <v>27</v>
      </c>
      <c r="Q28" s="15">
        <v>28</v>
      </c>
      <c r="T28" s="8">
        <v>7</v>
      </c>
      <c r="U28" s="8">
        <v>8</v>
      </c>
      <c r="V28" s="7"/>
      <c r="AC28" s="5">
        <v>19</v>
      </c>
      <c r="AD28" s="5">
        <v>20</v>
      </c>
      <c r="AE28" s="5">
        <v>22</v>
      </c>
      <c r="AF28" s="5">
        <v>23</v>
      </c>
      <c r="AG28" s="7"/>
    </row>
    <row r="29" spans="1:41" x14ac:dyDescent="0.25">
      <c r="A29" s="8">
        <v>14</v>
      </c>
      <c r="B29" s="5" t="s">
        <v>5</v>
      </c>
      <c r="C29" s="7"/>
      <c r="E29"/>
      <c r="N29" s="5">
        <v>15</v>
      </c>
      <c r="O29" s="5">
        <v>33</v>
      </c>
      <c r="P29" s="14">
        <v>30</v>
      </c>
      <c r="Q29" s="15">
        <v>29</v>
      </c>
      <c r="T29" s="8">
        <v>7</v>
      </c>
      <c r="U29" s="8">
        <v>10</v>
      </c>
      <c r="V29" s="7"/>
      <c r="AC29" s="5">
        <v>20</v>
      </c>
      <c r="AD29" s="5">
        <v>21</v>
      </c>
      <c r="AE29" s="5">
        <v>23</v>
      </c>
      <c r="AF29" s="5">
        <v>24</v>
      </c>
      <c r="AG29" s="7"/>
    </row>
    <row r="30" spans="1:41" x14ac:dyDescent="0.25">
      <c r="A30" s="8">
        <v>15</v>
      </c>
      <c r="B30" s="5" t="s">
        <v>6</v>
      </c>
      <c r="C30" s="7"/>
      <c r="E30"/>
      <c r="F30" s="4"/>
      <c r="H30" s="4"/>
      <c r="J30" s="4"/>
      <c r="L30" s="4"/>
      <c r="M30" s="4"/>
      <c r="N30" s="5">
        <v>16</v>
      </c>
      <c r="O30" s="5">
        <v>34</v>
      </c>
      <c r="P30" s="14">
        <v>32</v>
      </c>
      <c r="Q30" s="15">
        <v>31</v>
      </c>
      <c r="T30" s="8">
        <v>8</v>
      </c>
      <c r="U30" s="8">
        <v>9</v>
      </c>
      <c r="V30" s="7"/>
      <c r="AC30" s="5">
        <v>22</v>
      </c>
      <c r="AD30" s="5">
        <v>23</v>
      </c>
      <c r="AE30" s="5">
        <v>25</v>
      </c>
      <c r="AF30" s="5">
        <v>26</v>
      </c>
      <c r="AG30" s="7"/>
    </row>
    <row r="31" spans="1:41" x14ac:dyDescent="0.25">
      <c r="A31" s="8">
        <v>16</v>
      </c>
      <c r="B31" s="5" t="s">
        <v>5</v>
      </c>
      <c r="C31" s="7"/>
      <c r="E31"/>
      <c r="F31" s="4"/>
      <c r="N31" s="5">
        <v>17</v>
      </c>
      <c r="O31" s="5">
        <v>35</v>
      </c>
      <c r="P31" s="14">
        <v>34</v>
      </c>
      <c r="Q31" s="15">
        <v>33</v>
      </c>
      <c r="T31" s="8">
        <v>8</v>
      </c>
      <c r="U31" s="8">
        <v>11</v>
      </c>
      <c r="V31" s="7"/>
      <c r="AC31" s="5">
        <v>23</v>
      </c>
      <c r="AD31" s="5">
        <v>24</v>
      </c>
      <c r="AE31" s="5">
        <v>26</v>
      </c>
      <c r="AF31" s="5">
        <v>27</v>
      </c>
      <c r="AG31" s="7"/>
    </row>
    <row r="32" spans="1:41" x14ac:dyDescent="0.25">
      <c r="A32" s="8">
        <v>17</v>
      </c>
      <c r="B32" s="5" t="s">
        <v>6</v>
      </c>
      <c r="C32" s="7"/>
      <c r="E32"/>
      <c r="N32" s="5">
        <v>18</v>
      </c>
      <c r="O32" s="5">
        <v>36</v>
      </c>
      <c r="P32" s="14">
        <v>36</v>
      </c>
      <c r="Q32" s="15">
        <v>35</v>
      </c>
      <c r="R32" s="5" t="s">
        <v>22</v>
      </c>
      <c r="T32" s="8">
        <v>9</v>
      </c>
      <c r="U32" s="8">
        <v>12</v>
      </c>
      <c r="V32" s="7"/>
      <c r="AC32" s="5">
        <v>25</v>
      </c>
      <c r="AD32" s="5">
        <v>26</v>
      </c>
      <c r="AE32" s="5">
        <v>28</v>
      </c>
      <c r="AF32" s="5">
        <v>29</v>
      </c>
      <c r="AG32" s="7"/>
    </row>
    <row r="33" spans="1:33" x14ac:dyDescent="0.25">
      <c r="A33" s="8">
        <v>18</v>
      </c>
      <c r="B33" s="5" t="s">
        <v>5</v>
      </c>
      <c r="C33" s="7"/>
      <c r="E33"/>
      <c r="M33" t="s">
        <v>3</v>
      </c>
      <c r="N33" s="11"/>
      <c r="O33" s="7"/>
      <c r="P33" s="7"/>
      <c r="Q33" s="7">
        <v>25</v>
      </c>
      <c r="R33" s="5">
        <f>SUM(N33:Q33)</f>
        <v>25</v>
      </c>
      <c r="T33" s="8">
        <v>10</v>
      </c>
      <c r="U33" s="8">
        <v>11</v>
      </c>
      <c r="V33" s="7"/>
      <c r="AC33" s="5">
        <v>26</v>
      </c>
      <c r="AD33" s="5">
        <v>27</v>
      </c>
      <c r="AE33" s="5">
        <v>29</v>
      </c>
      <c r="AF33" s="5">
        <v>30</v>
      </c>
      <c r="AG33" s="7"/>
    </row>
    <row r="34" spans="1:33" x14ac:dyDescent="0.25">
      <c r="A34" s="8">
        <v>19</v>
      </c>
      <c r="B34" s="5" t="s">
        <v>5</v>
      </c>
      <c r="C34" s="7"/>
      <c r="E34"/>
      <c r="M34" t="s">
        <v>27</v>
      </c>
      <c r="N34" s="12">
        <v>25</v>
      </c>
      <c r="T34" s="8">
        <v>10</v>
      </c>
      <c r="U34" s="8">
        <v>13</v>
      </c>
      <c r="V34" s="7"/>
      <c r="AC34" s="5">
        <v>28</v>
      </c>
      <c r="AD34" s="5">
        <v>29</v>
      </c>
      <c r="AE34" s="5">
        <v>31</v>
      </c>
      <c r="AF34" s="5">
        <v>32</v>
      </c>
      <c r="AG34" s="7"/>
    </row>
    <row r="35" spans="1:33" x14ac:dyDescent="0.25">
      <c r="A35" s="8">
        <v>20</v>
      </c>
      <c r="B35" s="5" t="s">
        <v>6</v>
      </c>
      <c r="C35" s="7"/>
      <c r="E35"/>
      <c r="T35" s="8">
        <v>11</v>
      </c>
      <c r="U35" s="8">
        <v>12</v>
      </c>
      <c r="V35" s="7"/>
      <c r="AC35" s="5">
        <v>29</v>
      </c>
      <c r="AD35" s="5">
        <v>30</v>
      </c>
      <c r="AE35" s="5">
        <v>32</v>
      </c>
      <c r="AF35" s="5">
        <v>33</v>
      </c>
      <c r="AG35" s="7"/>
    </row>
    <row r="36" spans="1:33" x14ac:dyDescent="0.25">
      <c r="A36" s="8">
        <v>21</v>
      </c>
      <c r="B36" s="5" t="s">
        <v>5</v>
      </c>
      <c r="C36" s="7"/>
      <c r="E36"/>
      <c r="T36" s="8">
        <v>11</v>
      </c>
      <c r="U36" s="8">
        <v>14</v>
      </c>
      <c r="V36" s="7"/>
      <c r="AC36" s="5">
        <v>31</v>
      </c>
      <c r="AD36" s="5">
        <v>32</v>
      </c>
      <c r="AE36" s="5">
        <v>34</v>
      </c>
      <c r="AF36" s="5">
        <v>35</v>
      </c>
      <c r="AG36" s="7"/>
    </row>
    <row r="37" spans="1:33" x14ac:dyDescent="0.25">
      <c r="A37" s="8">
        <v>22</v>
      </c>
      <c r="B37" s="5" t="s">
        <v>6</v>
      </c>
      <c r="C37" s="7"/>
      <c r="E37"/>
      <c r="T37" s="8">
        <v>12</v>
      </c>
      <c r="U37" s="8">
        <v>15</v>
      </c>
      <c r="V37" s="7"/>
      <c r="AC37" s="5">
        <v>32</v>
      </c>
      <c r="AD37" s="5">
        <v>33</v>
      </c>
      <c r="AE37" s="5">
        <v>35</v>
      </c>
      <c r="AF37" s="5">
        <v>36</v>
      </c>
      <c r="AG37" s="7"/>
    </row>
    <row r="38" spans="1:33" x14ac:dyDescent="0.25">
      <c r="A38" s="8">
        <v>23</v>
      </c>
      <c r="B38" s="5" t="s">
        <v>5</v>
      </c>
      <c r="C38" s="7"/>
      <c r="E38"/>
      <c r="T38" s="8">
        <v>13</v>
      </c>
      <c r="U38" s="8">
        <v>14</v>
      </c>
      <c r="V38" s="7"/>
      <c r="AC38" s="5" t="s">
        <v>22</v>
      </c>
      <c r="AD38" s="5"/>
      <c r="AE38" s="5"/>
      <c r="AF38" s="5"/>
      <c r="AG38" s="5">
        <f>SUM(AG15:AG37)</f>
        <v>0</v>
      </c>
    </row>
    <row r="39" spans="1:33" x14ac:dyDescent="0.25">
      <c r="A39" s="8">
        <v>24</v>
      </c>
      <c r="B39" s="5" t="s">
        <v>6</v>
      </c>
      <c r="C39" s="7"/>
      <c r="E39"/>
      <c r="T39" s="8">
        <v>13</v>
      </c>
      <c r="U39" s="8">
        <v>16</v>
      </c>
      <c r="V39" s="7"/>
    </row>
    <row r="40" spans="1:33" x14ac:dyDescent="0.25">
      <c r="A40" s="8">
        <v>25</v>
      </c>
      <c r="B40" s="5" t="s">
        <v>5</v>
      </c>
      <c r="C40" s="7"/>
      <c r="E40"/>
      <c r="T40" s="8">
        <v>14</v>
      </c>
      <c r="U40" s="8">
        <v>15</v>
      </c>
      <c r="V40" s="7"/>
    </row>
    <row r="41" spans="1:33" x14ac:dyDescent="0.25">
      <c r="A41" s="8">
        <v>26</v>
      </c>
      <c r="B41" s="5" t="s">
        <v>6</v>
      </c>
      <c r="C41" s="7"/>
      <c r="E41"/>
      <c r="T41" s="8">
        <v>14</v>
      </c>
      <c r="U41" s="8">
        <v>17</v>
      </c>
      <c r="V41" s="7"/>
    </row>
    <row r="42" spans="1:33" x14ac:dyDescent="0.25">
      <c r="A42" s="8">
        <v>27</v>
      </c>
      <c r="B42" s="5" t="s">
        <v>5</v>
      </c>
      <c r="C42" s="7"/>
      <c r="E42"/>
      <c r="T42" s="8">
        <v>15</v>
      </c>
      <c r="U42" s="8">
        <v>18</v>
      </c>
      <c r="V42" s="7"/>
    </row>
    <row r="43" spans="1:33" x14ac:dyDescent="0.25">
      <c r="A43" s="8">
        <v>28</v>
      </c>
      <c r="B43" s="5" t="s">
        <v>6</v>
      </c>
      <c r="C43" s="7"/>
      <c r="E43"/>
      <c r="T43" s="8">
        <v>16</v>
      </c>
      <c r="U43" s="8">
        <v>17</v>
      </c>
      <c r="V43" s="7"/>
    </row>
    <row r="44" spans="1:33" x14ac:dyDescent="0.25">
      <c r="A44" s="8">
        <v>29</v>
      </c>
      <c r="B44" s="5" t="s">
        <v>6</v>
      </c>
      <c r="C44" s="7"/>
      <c r="E44"/>
      <c r="T44" s="8">
        <v>16</v>
      </c>
      <c r="U44" s="8">
        <v>19</v>
      </c>
      <c r="V44" s="7"/>
    </row>
    <row r="45" spans="1:33" x14ac:dyDescent="0.25">
      <c r="A45" s="8">
        <v>30</v>
      </c>
      <c r="B45" s="5" t="s">
        <v>5</v>
      </c>
      <c r="C45" s="7"/>
      <c r="E45"/>
      <c r="T45" s="8">
        <v>17</v>
      </c>
      <c r="U45" s="8">
        <v>18</v>
      </c>
      <c r="V45" s="7"/>
    </row>
    <row r="46" spans="1:33" x14ac:dyDescent="0.25">
      <c r="A46" s="8">
        <v>31</v>
      </c>
      <c r="B46" s="5" t="s">
        <v>6</v>
      </c>
      <c r="C46" s="7"/>
      <c r="E46"/>
      <c r="T46" s="8">
        <v>17</v>
      </c>
      <c r="U46" s="8">
        <v>20</v>
      </c>
      <c r="V46" s="7"/>
    </row>
    <row r="47" spans="1:33" x14ac:dyDescent="0.25">
      <c r="A47" s="8">
        <v>32</v>
      </c>
      <c r="B47" s="5" t="s">
        <v>5</v>
      </c>
      <c r="C47" s="7"/>
      <c r="E47"/>
      <c r="T47" s="8">
        <v>18</v>
      </c>
      <c r="U47" s="8">
        <v>21</v>
      </c>
      <c r="V47" s="7"/>
    </row>
    <row r="48" spans="1:33" x14ac:dyDescent="0.25">
      <c r="A48" s="8">
        <v>33</v>
      </c>
      <c r="B48" s="5" t="s">
        <v>6</v>
      </c>
      <c r="C48" s="7"/>
      <c r="E48"/>
      <c r="T48" s="8">
        <v>19</v>
      </c>
      <c r="U48" s="8">
        <v>20</v>
      </c>
      <c r="V48" s="7"/>
    </row>
    <row r="49" spans="1:22" x14ac:dyDescent="0.25">
      <c r="A49" s="8">
        <v>34</v>
      </c>
      <c r="B49" s="5" t="s">
        <v>5</v>
      </c>
      <c r="C49" s="7"/>
      <c r="E49"/>
      <c r="T49" s="8">
        <v>19</v>
      </c>
      <c r="U49" s="8">
        <v>22</v>
      </c>
      <c r="V49" s="7"/>
    </row>
    <row r="50" spans="1:22" x14ac:dyDescent="0.25">
      <c r="A50" s="8">
        <v>35</v>
      </c>
      <c r="B50" s="5" t="s">
        <v>6</v>
      </c>
      <c r="C50" s="7"/>
      <c r="E50"/>
      <c r="T50" s="8">
        <v>20</v>
      </c>
      <c r="U50" s="8">
        <v>21</v>
      </c>
      <c r="V50" s="7"/>
    </row>
    <row r="51" spans="1:22" x14ac:dyDescent="0.25">
      <c r="A51" s="8">
        <v>36</v>
      </c>
      <c r="B51" s="5" t="s">
        <v>5</v>
      </c>
      <c r="C51" s="7"/>
      <c r="E51"/>
      <c r="T51" s="8">
        <v>20</v>
      </c>
      <c r="U51" s="8">
        <v>23</v>
      </c>
      <c r="V51" s="7"/>
    </row>
    <row r="52" spans="1:22" x14ac:dyDescent="0.25">
      <c r="A52" s="5" t="s">
        <v>22</v>
      </c>
      <c r="B52" s="5"/>
      <c r="C52" s="5">
        <f>SUM(C15:C51)</f>
        <v>0</v>
      </c>
      <c r="E52"/>
      <c r="T52" s="8">
        <v>21</v>
      </c>
      <c r="U52" s="8">
        <v>24</v>
      </c>
      <c r="V52" s="7"/>
    </row>
    <row r="53" spans="1:22" x14ac:dyDescent="0.25">
      <c r="E53"/>
      <c r="T53" s="8">
        <v>22</v>
      </c>
      <c r="U53" s="8">
        <v>23</v>
      </c>
      <c r="V53" s="7"/>
    </row>
    <row r="54" spans="1:22" x14ac:dyDescent="0.25">
      <c r="E54"/>
      <c r="T54" s="8">
        <v>22</v>
      </c>
      <c r="U54" s="8">
        <v>25</v>
      </c>
      <c r="V54" s="7"/>
    </row>
    <row r="55" spans="1:22" x14ac:dyDescent="0.25">
      <c r="E55"/>
      <c r="T55" s="8">
        <v>23</v>
      </c>
      <c r="U55" s="8">
        <v>24</v>
      </c>
      <c r="V55" s="7"/>
    </row>
    <row r="56" spans="1:22" x14ac:dyDescent="0.25">
      <c r="E56"/>
      <c r="T56" s="8">
        <v>23</v>
      </c>
      <c r="U56" s="8">
        <v>26</v>
      </c>
      <c r="V56" s="7"/>
    </row>
    <row r="57" spans="1:22" x14ac:dyDescent="0.25">
      <c r="E57"/>
      <c r="T57" s="8">
        <v>24</v>
      </c>
      <c r="U57" s="8">
        <v>27</v>
      </c>
      <c r="V57" s="7"/>
    </row>
    <row r="58" spans="1:22" x14ac:dyDescent="0.25">
      <c r="E58"/>
      <c r="T58" s="8">
        <v>25</v>
      </c>
      <c r="U58" s="8">
        <v>26</v>
      </c>
      <c r="V58" s="7"/>
    </row>
    <row r="59" spans="1:22" x14ac:dyDescent="0.25">
      <c r="E59"/>
      <c r="T59" s="8">
        <v>25</v>
      </c>
      <c r="U59" s="8">
        <v>28</v>
      </c>
      <c r="V59" s="7"/>
    </row>
    <row r="60" spans="1:22" x14ac:dyDescent="0.25">
      <c r="E60"/>
      <c r="T60" s="8">
        <v>26</v>
      </c>
      <c r="U60" s="8">
        <v>27</v>
      </c>
      <c r="V60" s="7"/>
    </row>
    <row r="61" spans="1:22" x14ac:dyDescent="0.25">
      <c r="E61"/>
      <c r="T61" s="8">
        <v>26</v>
      </c>
      <c r="U61" s="8">
        <v>29</v>
      </c>
      <c r="V61" s="7"/>
    </row>
    <row r="62" spans="1:22" x14ac:dyDescent="0.25">
      <c r="E62"/>
      <c r="T62" s="8">
        <v>27</v>
      </c>
      <c r="U62" s="8">
        <v>30</v>
      </c>
      <c r="V62" s="7"/>
    </row>
    <row r="63" spans="1:22" x14ac:dyDescent="0.25">
      <c r="E63"/>
      <c r="T63" s="8">
        <v>28</v>
      </c>
      <c r="U63" s="8">
        <v>29</v>
      </c>
      <c r="V63" s="7"/>
    </row>
    <row r="64" spans="1:22" x14ac:dyDescent="0.25">
      <c r="E64"/>
      <c r="T64" s="8">
        <v>28</v>
      </c>
      <c r="U64" s="8">
        <v>31</v>
      </c>
      <c r="V64" s="7"/>
    </row>
    <row r="65" spans="5:22" x14ac:dyDescent="0.25">
      <c r="E65"/>
      <c r="T65" s="8">
        <v>29</v>
      </c>
      <c r="U65" s="8">
        <v>30</v>
      </c>
      <c r="V65" s="7"/>
    </row>
    <row r="66" spans="5:22" x14ac:dyDescent="0.25">
      <c r="E66"/>
      <c r="T66" s="8">
        <v>29</v>
      </c>
      <c r="U66" s="8">
        <v>32</v>
      </c>
      <c r="V66" s="7"/>
    </row>
    <row r="67" spans="5:22" x14ac:dyDescent="0.25">
      <c r="E67"/>
      <c r="T67" s="8">
        <v>30</v>
      </c>
      <c r="U67" s="8">
        <v>33</v>
      </c>
      <c r="V67" s="7"/>
    </row>
    <row r="68" spans="5:22" x14ac:dyDescent="0.25">
      <c r="E68"/>
      <c r="T68" s="8">
        <v>31</v>
      </c>
      <c r="U68" s="8">
        <v>32</v>
      </c>
      <c r="V68" s="7"/>
    </row>
    <row r="69" spans="5:22" x14ac:dyDescent="0.25">
      <c r="E69"/>
      <c r="T69" s="8">
        <v>31</v>
      </c>
      <c r="U69" s="8">
        <v>34</v>
      </c>
      <c r="V69" s="7"/>
    </row>
    <row r="70" spans="5:22" x14ac:dyDescent="0.25">
      <c r="E70"/>
      <c r="T70" s="8">
        <v>32</v>
      </c>
      <c r="U70" s="8">
        <v>33</v>
      </c>
      <c r="V70" s="7"/>
    </row>
    <row r="71" spans="5:22" x14ac:dyDescent="0.25">
      <c r="E71"/>
      <c r="T71" s="8">
        <v>32</v>
      </c>
      <c r="U71" s="8">
        <v>35</v>
      </c>
      <c r="V71" s="7"/>
    </row>
    <row r="72" spans="5:22" x14ac:dyDescent="0.25">
      <c r="E72"/>
      <c r="T72" s="8">
        <v>33</v>
      </c>
      <c r="U72" s="8">
        <v>36</v>
      </c>
      <c r="V72" s="7"/>
    </row>
    <row r="73" spans="5:22" x14ac:dyDescent="0.25">
      <c r="E73"/>
      <c r="T73" s="8">
        <v>34</v>
      </c>
      <c r="U73" s="8">
        <v>35</v>
      </c>
      <c r="V73" s="7"/>
    </row>
    <row r="74" spans="5:22" x14ac:dyDescent="0.25">
      <c r="E74"/>
      <c r="T74" s="8">
        <v>35</v>
      </c>
      <c r="U74" s="8">
        <v>36</v>
      </c>
      <c r="V74" s="7"/>
    </row>
    <row r="75" spans="5:22" x14ac:dyDescent="0.25">
      <c r="E75"/>
      <c r="T75" s="17" t="s">
        <v>22</v>
      </c>
      <c r="U75" s="5"/>
      <c r="V75" s="5">
        <f>SUM(V15:V74)</f>
        <v>0</v>
      </c>
    </row>
    <row r="76" spans="5:22" x14ac:dyDescent="0.25">
      <c r="E76"/>
      <c r="T76" s="3"/>
    </row>
  </sheetData>
  <conditionalFormatting sqref="A15:A51">
    <cfRule type="expression" dxfId="15" priority="17">
      <formula>$B15="Black"</formula>
    </cfRule>
    <cfRule type="expression" dxfId="14" priority="18">
      <formula>$B15="Red"</formula>
    </cfRule>
  </conditionalFormatting>
  <conditionalFormatting sqref="B2:M2 B4:M4 B6:M6">
    <cfRule type="expression" dxfId="13" priority="15">
      <formula>VLOOKUP(B2,$A$15:$B$51,2,FALSE)="Black"</formula>
    </cfRule>
    <cfRule type="expression" dxfId="12" priority="16">
      <formula>VLOOKUP(B2,$A$15:$B$51,2,FALSE)="Red"</formula>
    </cfRule>
  </conditionalFormatting>
  <conditionalFormatting sqref="B3:M3 A5:M5 B7:M11">
    <cfRule type="cellIs" dxfId="11" priority="11" operator="greaterThan">
      <formula>0</formula>
    </cfRule>
    <cfRule type="cellIs" dxfId="10" priority="12" operator="lessThan">
      <formula>0</formula>
    </cfRule>
  </conditionalFormatting>
  <conditionalFormatting sqref="F15:H26">
    <cfRule type="expression" dxfId="9" priority="13">
      <formula>VLOOKUP(F15,$A$15:$B$51,2,FALSE)="Black"</formula>
    </cfRule>
    <cfRule type="expression" dxfId="8" priority="14">
      <formula>VLOOKUP(F15,$A$15:$B$51,2,FALSE)="Red"</formula>
    </cfRule>
  </conditionalFormatting>
  <conditionalFormatting sqref="T15:U74">
    <cfRule type="expression" dxfId="7" priority="8">
      <formula>VLOOKUP(T15,$A$15:$B$51,2,FALSE)="Green"</formula>
    </cfRule>
    <cfRule type="expression" dxfId="6" priority="9">
      <formula>VLOOKUP(T15,$A$15:$B$51,2,FALSE)="Red"</formula>
    </cfRule>
    <cfRule type="expression" dxfId="5" priority="10">
      <formula>VLOOKUP(T15,$A$15:$B$51,2,FALSE)="Black"</formula>
    </cfRule>
  </conditionalFormatting>
  <conditionalFormatting sqref="U4:AN4">
    <cfRule type="expression" dxfId="4" priority="5">
      <formula>VLOOKUP(U4,$A$15:$B$51,2,FALSE)="Black"</formula>
    </cfRule>
    <cfRule type="expression" dxfId="3" priority="6">
      <formula>VLOOKUP(U4,$A$15:$B$51,2,FALSE)="Red"</formula>
    </cfRule>
    <cfRule type="expression" dxfId="2" priority="7">
      <formula>VLOOKUP(U4,$A$15:$B$51,2,FALSE)="Green"</formula>
    </cfRule>
  </conditionalFormatting>
  <conditionalFormatting sqref="U5:AN5">
    <cfRule type="cellIs" dxfId="1" priority="2" operator="lessThan">
      <formula>0</formula>
    </cfRule>
  </conditionalFormatting>
  <conditionalFormatting sqref="U7:AN7">
    <cfRule type="cellIs" dxfId="0" priority="1" operator="less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lear_bets">
                <anchor moveWithCells="1" sizeWithCells="1">
                  <from>
                    <xdr:col>16</xdr:col>
                    <xdr:colOff>238125</xdr:colOff>
                    <xdr:row>0</xdr:row>
                    <xdr:rowOff>133350</xdr:rowOff>
                  </from>
                  <to>
                    <xdr:col>18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Joon Wei Kang</dc:creator>
  <cp:lastModifiedBy>Joon Wei Kang</cp:lastModifiedBy>
  <dcterms:created xsi:type="dcterms:W3CDTF">2024-06-10T08:56:35Z</dcterms:created>
  <dcterms:modified xsi:type="dcterms:W3CDTF">2024-06-26T16:22:55Z</dcterms:modified>
</cp:coreProperties>
</file>